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16815" windowHeight="753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<sst xmlns="http://schemas.openxmlformats.org/spreadsheetml/2006/main" count="3298" uniqueCount="710">
  <si>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</si>
  <si>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</si>
  <si>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</si>
  <si>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</si>
  <si>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</si>
  <si>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</si>
  <si>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</si>
  <si>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</si>
  <si>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</si>
  <si>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</si>
  <si>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</si>
  <si>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</si>
  <si>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</si>
  <si>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</si>
  <si>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</si>
  <si>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</si>
  <si>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</si>
  <si>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</si>
  <si>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</si>
  <si>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</si>
  <si>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</si>
  <si>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</si>
  <si>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</si>
  <si>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</si>
  <si>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</si>
  <si>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</si>
  <si>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</si>
  <si>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</si>
  <si>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</si>
  <si>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</si>
  <si>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</si>
  <si>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</si>
  <si>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</si>
  <si>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</si>
  <si>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</si>
  <si>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</si>
  <si>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</si>
  <si>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</si>
  <si>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</si>
  <si>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</si>
  <si>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</si>
  <si>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</si>
  <si>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</si>
  <si>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</si>
  <si>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</si>
  <si>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</si>
  <si>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</si>
  <si>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</si>
  <si>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</si>
  <si>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</si>
  <si>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</si>
  <si>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</si>
  <si>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</si>
  <si>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</si>
  <si>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</si>
  <si>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</si>
  <si>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</si>
  <si>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</si>
  <si>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</si>
  <si>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</si>
  <si>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</si>
  <si>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</si>
  <si>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</si>
  <si>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</si>
  <si>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</si>
  <si>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</si>
  <si>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</si>
  <si>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</si>
  <si>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</si>
  <si>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</si>
  <si>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</si>
  <si>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</si>
  <si>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</si>
  <si>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</si>
  <si>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</si>
  <si>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</si>
  <si>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</si>
  <si>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</si>
  <si>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</si>
  <si>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</si>
  <si>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</si>
  <si>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</si>
  <si>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</si>
  <si>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</si>
  <si>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</si>
  <si>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</si>
  <si>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</si>
  <si>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</si>
  <si>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</si>
  <si>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</si>
  <si>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</si>
  <si>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</si>
  <si>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</si>
  <si>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</si>
  <si>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</si>
  <si>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</si>
  <si>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</si>
  <si>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</si>
  <si>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</si>
  <si>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</si>
  <si>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</si>
  <si>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</si>
  <si>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</si>
  <si>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</si>
  <si>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</si>
  <si>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</si>
  <si>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</si>
  <si>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</si>
  <si>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</si>
  <si>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</si>
  <si>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</si>
  <si>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</si>
  <si>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</si>
  <si>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</si>
  <si>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</si>
  <si>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</si>
  <si>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</si>
  <si>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</si>
  <si>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</si>
  <si>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</si>
  <si>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</si>
  <si>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</si>
  <si>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</si>
  <si>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</si>
  <si>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</si>
  <si>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</si>
  <si>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</si>
  <si>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</si>
  <si>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</si>
  <si>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</si>
  <si>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</si>
  <si>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</si>
  <si>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</si>
  <si>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</si>
  <si>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</si>
  <si>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</si>
  <si>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</si>
  <si>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</si>
  <si>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</si>
  <si>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</si>
  <si>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</si>
  <si>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</si>
  <si>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</si>
  <si>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</si>
  <si>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</si>
  <si>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</si>
  <si>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</si>
  <si>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</si>
  <si>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</si>
  <si>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</si>
  <si>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</si>
  <si>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</si>
  <si>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</si>
  <si>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</si>
  <si>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</si>
  <si>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</si>
  <si>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</si>
  <si>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</si>
  <si>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</si>
  <si>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</si>
  <si>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</si>
  <si>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</si>
  <si>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</si>
  <si>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</si>
  <si>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</si>
  <si>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</si>
  <si>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</si>
  <si>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</si>
  <si>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</si>
  <si>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</si>
  <si>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</si>
  <si>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</si>
  <si>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</si>
  <si>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</si>
  <si>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</si>
  <si>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</si>
  <si>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</si>
  <si>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</si>
  <si>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</si>
  <si>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</si>
  <si>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</si>
  <si>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</si>
  <si>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</si>
  <si>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</si>
  <si>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</si>
  <si>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</si>
  <si>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</si>
  <si>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</si>
  <si>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</si>
  <si>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</si>
  <si>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</si>
  <si>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</si>
  <si>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</si>
  <si>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</si>
  <si>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</si>
  <si>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</si>
  <si>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</si>
  <si>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</si>
  <si>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</si>
  <si>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</si>
  <si>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</si>
  <si>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</si>
  <si>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</si>
  <si>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</si>
  <si>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</si>
  <si>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</si>
  <si>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</si>
  <si>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</si>
  <si>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</si>
  <si>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</si>
  <si>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</si>
  <si>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</si>
  <si>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</si>
  <si>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</si>
  <si>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</si>
  <si>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</si>
  <si>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</si>
  <si>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</si>
  <si>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</si>
  <si>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</si>
  <si>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</si>
  <si>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</si>
  <si>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</si>
  <si>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</si>
  <si>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</si>
  <si>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</si>
  <si>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</si>
  <si>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</si>
  <si>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</si>
  <si>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</si>
  <si>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</si>
  <si>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</si>
  <si>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</si>
  <si>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</si>
  <si>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</si>
  <si>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</si>
  <si>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</si>
  <si>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</si>
  <si>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</si>
  <si>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</si>
  <si>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</si>
  <si>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</si>
  <si>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</si>
  <si>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</si>
  <si>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</si>
  <si>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</si>
  <si>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</si>
  <si>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</si>
  <si>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</si>
  <si>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</si>
  <si>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</si>
  <si>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</si>
  <si>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</si>
  <si>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</si>
  <si>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</si>
  <si>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</si>
  <si>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</si>
  <si>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</si>
  <si>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</si>
  <si>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</si>
  <si>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</si>
  <si>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</si>
  <si>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</si>
  <si>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</si>
  <si>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</si>
  <si>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</si>
  <si>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</si>
  <si>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</si>
  <si>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</si>
  <si>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</si>
  <si>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</si>
  <si>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</si>
  <si>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</si>
  <si>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</si>
  <si>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</si>
  <si>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</si>
  <si>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</si>
  <si>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</si>
  <si>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</si>
  <si>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</si>
  <si>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</si>
  <si>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</si>
  <si>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</si>
  <si>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</si>
  <si>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</si>
  <si>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</si>
  <si>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</si>
  <si>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</si>
  <si>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</si>
  <si>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</si>
  <si>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</si>
  <si>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</si>
  <si>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</si>
  <si>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</si>
  <si>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</si>
  <si>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</si>
  <si>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</si>
  <si>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</si>
  <si>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</si>
  <si>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</si>
  <si>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</si>
  <si>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</si>
  <si>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</si>
  <si>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</si>
  <si>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</si>
  <si>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</si>
  <si>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</si>
  <si>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</si>
  <si>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</si>
  <si>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</si>
  <si>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</si>
  <si>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</si>
  <si>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</si>
  <si>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</si>
  <si>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</si>
  <si>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</si>
  <si>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</si>
  <si>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</si>
  <si>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</si>
  <si>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</si>
  <si>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</si>
  <si>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</si>
  <si>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</si>
  <si>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</si>
  <si>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</si>
  <si>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</si>
  <si>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</si>
  <si>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</si>
  <si>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</si>
  <si>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</si>
  <si>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</si>
  <si>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</si>
  <si>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</si>
  <si>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</si>
  <si>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</si>
  <si>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</si>
  <si>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</si>
  <si>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</si>
  <si>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</si>
  <si>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</si>
  <si>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</si>
  <si>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</si>
  <si>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</si>
  <si>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</si>
  <si>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</si>
  <si>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</si>
  <si>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</si>
  <si>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</si>
  <si>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</si>
  <si>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</si>
  <si>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</si>
  <si>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</si>
  <si>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</si>
  <si>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</si>
  <si>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</si>
  <si>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</si>
  <si>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</si>
  <si>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</si>
  <si>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</si>
  <si>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</si>
  <si>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</si>
  <si>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</si>
  <si>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</si>
  <si>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</si>
  <si>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</si>
  <si>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</si>
  <si>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</si>
  <si>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</si>
  <si>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</si>
  <si>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</si>
  <si>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</si>
  <si>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</si>
  <si>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</si>
  <si>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</si>
  <si>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</si>
  <si>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</si>
  <si>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</si>
  <si>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</si>
  <si>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</si>
  <si>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</si>
  <si>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</si>
  <si>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</si>
  <si>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</si>
  <si>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</si>
  <si>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</si>
  <si>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</si>
  <si>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</si>
  <si>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</si>
  <si>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</si>
  <si>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</si>
  <si>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</si>
  <si>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</si>
  <si>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</si>
  <si>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</si>
  <si>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</si>
  <si>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</si>
  <si>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</si>
  <si>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</si>
  <si>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</si>
  <si>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</si>
  <si>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</si>
  <si>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</si>
  <si>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</si>
  <si>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</si>
  <si>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</si>
  <si>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</si>
  <si>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</si>
  <si>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</si>
  <si>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</si>
  <si>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</si>
  <si>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</si>
  <si>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</si>
  <si>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</si>
  <si>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</si>
  <si>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</si>
  <si>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</si>
  <si>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</si>
  <si>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</si>
  <si>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</si>
  <si>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</si>
  <si>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</si>
  <si>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</si>
  <si>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</si>
  <si>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</si>
  <si>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</si>
  <si>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</si>
  <si>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</si>
  <si>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</si>
  <si>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</si>
  <si>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</si>
  <si>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</si>
  <si>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</si>
  <si>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</si>
  <si>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</si>
  <si>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</si>
  <si>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</si>
  <si>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</si>
  <si>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</si>
  <si>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</si>
  <si>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</si>
  <si>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</si>
  <si>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</si>
  <si>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</si>
  <si>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</si>
  <si>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</si>
  <si>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</si>
  <si>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JACKELINE </t>
  </si>
  <si>
    <t>202 - 30218300</t>
  </si>
  <si>
    <t>008M</t>
  </si>
  <si>
    <t xml:space="preserve">CARMEN FRANCO </t>
  </si>
  <si>
    <t xml:space="preserve">ANA MARIA GABARRETE </t>
  </si>
  <si>
    <t xml:space="preserve">PAN, QUESO, CONSERVA, VEGETALES COCIDOS </t>
  </si>
  <si>
    <t xml:space="preserve">ROSARIO </t>
  </si>
  <si>
    <t>FRIO</t>
  </si>
  <si>
    <t xml:space="preserve">BREAD,CHEESE,PRESERVE,COOKED VEGETABLES </t>
  </si>
  <si>
    <t>144M</t>
  </si>
  <si>
    <t xml:space="preserve">ELEODORA VARGAS </t>
  </si>
  <si>
    <t xml:space="preserve">OBDULIO BORJA </t>
  </si>
  <si>
    <t xml:space="preserve">PAN, QUESO, VEGETALES COCIDOS </t>
  </si>
  <si>
    <t>LORENA</t>
  </si>
  <si>
    <t xml:space="preserve">BREAD,CHEESE,COOKED VEGETABLES </t>
  </si>
  <si>
    <t>009M</t>
  </si>
  <si>
    <t xml:space="preserve">ROMELIA GABARRETE </t>
  </si>
  <si>
    <t xml:space="preserve">QUESO, CONSERVA, VEGETALES COCIDOS </t>
  </si>
  <si>
    <t xml:space="preserve">CHEESE,PRESERVE,COOKED VEGETABLES </t>
  </si>
  <si>
    <t>140M</t>
  </si>
  <si>
    <t>MARIA VILLEDA</t>
  </si>
  <si>
    <t xml:space="preserve">INARID VILLEDA </t>
  </si>
  <si>
    <t>MIRNA</t>
  </si>
  <si>
    <t>011M</t>
  </si>
  <si>
    <t xml:space="preserve">CARMENCITA GABARRETE </t>
  </si>
  <si>
    <t xml:space="preserve">NORMA </t>
  </si>
  <si>
    <t>126M</t>
  </si>
  <si>
    <t xml:space="preserve">OLIMPIA SAGASTUME </t>
  </si>
  <si>
    <t xml:space="preserve">SAIRA SAGASTUME </t>
  </si>
  <si>
    <t>IRMA</t>
  </si>
  <si>
    <t>015M</t>
  </si>
  <si>
    <t xml:space="preserve">ARTURO GUTIERREZ LOPEZ </t>
  </si>
  <si>
    <t xml:space="preserve">FLORA LOPEZ GUTIERREZ </t>
  </si>
  <si>
    <t xml:space="preserve">QUESO  </t>
  </si>
  <si>
    <t xml:space="preserve">DAVID </t>
  </si>
  <si>
    <t xml:space="preserve">CHEESE  </t>
  </si>
  <si>
    <t xml:space="preserve">MARIO JAVIER OSORIO </t>
  </si>
  <si>
    <t xml:space="preserve">EDGAR OSORIO </t>
  </si>
  <si>
    <t xml:space="preserve">CLEMENCIA </t>
  </si>
  <si>
    <t>458M</t>
  </si>
  <si>
    <t xml:space="preserve">BERTA LOPEZ </t>
  </si>
  <si>
    <t xml:space="preserve">ANA MORALES </t>
  </si>
  <si>
    <t xml:space="preserve">QUESO, VEGETALES COCIDOS </t>
  </si>
  <si>
    <t xml:space="preserve">MARIVI </t>
  </si>
  <si>
    <t xml:space="preserve">CHEESE,COOKED VEGETABLES </t>
  </si>
  <si>
    <t>465M</t>
  </si>
  <si>
    <t xml:space="preserve">VICTORIA FELIPE </t>
  </si>
  <si>
    <t xml:space="preserve">MOLVIA MENDEZ </t>
  </si>
  <si>
    <t xml:space="preserve">LORENA </t>
  </si>
  <si>
    <t>467M</t>
  </si>
  <si>
    <t xml:space="preserve">MARTINA JACOME </t>
  </si>
  <si>
    <t xml:space="preserve">MARIO LINARES </t>
  </si>
  <si>
    <t xml:space="preserve">MIRNA </t>
  </si>
  <si>
    <t>475M</t>
  </si>
  <si>
    <t xml:space="preserve">YOJAIRA RAMIREZ </t>
  </si>
  <si>
    <t>BRENY RAMIREZ</t>
  </si>
  <si>
    <t>403M</t>
  </si>
  <si>
    <t xml:space="preserve">HUINDA DUARTE </t>
  </si>
  <si>
    <t xml:space="preserve">YANETH DUARTE </t>
  </si>
  <si>
    <t xml:space="preserve">IRMA </t>
  </si>
  <si>
    <t>016M</t>
  </si>
  <si>
    <t xml:space="preserve">EVA MARTINEZ GOMEZ </t>
  </si>
  <si>
    <t xml:space="preserve">FRANCISCO GOMEZ MARTINEZ </t>
  </si>
  <si>
    <t>QUESO</t>
  </si>
  <si>
    <t>CHEESE</t>
  </si>
  <si>
    <t>1000A</t>
  </si>
  <si>
    <t xml:space="preserve">LILY AQUINO </t>
  </si>
  <si>
    <t xml:space="preserve">PAMELA ERAZO </t>
  </si>
  <si>
    <t xml:space="preserve">QUESO </t>
  </si>
  <si>
    <t xml:space="preserve">YESSIKA </t>
  </si>
  <si>
    <t xml:space="preserve">CHEESE </t>
  </si>
  <si>
    <t>704K</t>
  </si>
  <si>
    <t xml:space="preserve">MARGARITA MORALES </t>
  </si>
  <si>
    <t xml:space="preserve">ARTURO MORALES </t>
  </si>
  <si>
    <t xml:space="preserve">NORA </t>
  </si>
  <si>
    <t>102K</t>
  </si>
  <si>
    <t xml:space="preserve">NOLVIA ESPINOZA </t>
  </si>
  <si>
    <t xml:space="preserve">ILIANA SALAZAR </t>
  </si>
  <si>
    <t>010M</t>
  </si>
  <si>
    <t xml:space="preserve">MARIA DEL CARMEN GABARRETE </t>
  </si>
  <si>
    <t xml:space="preserve">QUESO, TAMALITOS, VEGETALES COCIDOS </t>
  </si>
  <si>
    <t xml:space="preserve">CHEESE,TAMALITOS,COOKED VEGETABLES </t>
  </si>
  <si>
    <t>01K</t>
  </si>
  <si>
    <t xml:space="preserve">MARIO OSORIO </t>
  </si>
  <si>
    <t xml:space="preserve">ESTER MIRANDA </t>
  </si>
  <si>
    <t>209K</t>
  </si>
  <si>
    <t xml:space="preserve">VIVIAN AGUILAR </t>
  </si>
  <si>
    <t xml:space="preserve">JOSE AGUILAR </t>
  </si>
  <si>
    <t>821B</t>
  </si>
  <si>
    <t xml:space="preserve">DUARLIN ALDANA </t>
  </si>
  <si>
    <t xml:space="preserve">EDVIN ALDANA </t>
  </si>
  <si>
    <t xml:space="preserve">CONSERVA, VEGETALES COCIDOS </t>
  </si>
  <si>
    <t xml:space="preserve">PRESERVE,COOKED VEGETABLES </t>
  </si>
  <si>
    <t>122B</t>
  </si>
  <si>
    <t xml:space="preserve">MARGARITA CORONADO </t>
  </si>
  <si>
    <t>GAEL LOPEZ</t>
  </si>
  <si>
    <t xml:space="preserve">VEGETALES COCIDOS </t>
  </si>
  <si>
    <t xml:space="preserve">COOKED VEGETABLES </t>
  </si>
  <si>
    <t>99K</t>
  </si>
  <si>
    <t xml:space="preserve">FREDDY GOMEZ AGUILAR </t>
  </si>
  <si>
    <t xml:space="preserve">KARINA GOMEZ AGUILAR </t>
  </si>
  <si>
    <t>PAN</t>
  </si>
  <si>
    <t>BREAD</t>
  </si>
  <si>
    <t>1001A</t>
  </si>
  <si>
    <t>ALEXIS CAMPOS NARANJO</t>
  </si>
  <si>
    <t xml:space="preserve">FABIOLA CAMPOS NARANJO </t>
  </si>
  <si>
    <t>1002B</t>
  </si>
  <si>
    <t>ALBERTO PONCE GONZALEZ</t>
  </si>
  <si>
    <t xml:space="preserve">ALMA PONCE GONZALEZ </t>
  </si>
  <si>
    <t>SUPLEMENTO VITAMINICO</t>
  </si>
  <si>
    <t>VITAMIN SUPPLEMENTS</t>
  </si>
  <si>
    <t>1003B</t>
  </si>
  <si>
    <t xml:space="preserve">BLANCA CARRILLO GARCIA </t>
  </si>
  <si>
    <t xml:space="preserve">DELIA CARRILLO GARCIA </t>
  </si>
  <si>
    <t>448M</t>
  </si>
  <si>
    <t xml:space="preserve">EVA ROQUE </t>
  </si>
  <si>
    <t xml:space="preserve">LESLY GONZALES </t>
  </si>
  <si>
    <t xml:space="preserve">PAN, CONDIMENTOS, COSMETICOS </t>
  </si>
  <si>
    <t xml:space="preserve">BREAD,CONDIMENTS,COSMETICS </t>
  </si>
  <si>
    <t>908M</t>
  </si>
  <si>
    <t xml:space="preserve">DINA SAGASTUME </t>
  </si>
  <si>
    <t xml:space="preserve">JOSE GRALDO </t>
  </si>
  <si>
    <t xml:space="preserve">PAN, MEDICINA NATURAL </t>
  </si>
  <si>
    <t xml:space="preserve">BREAD,NATURAL MEDICINE </t>
  </si>
  <si>
    <t>159M</t>
  </si>
  <si>
    <t xml:space="preserve">MARGARITA VILLEDA </t>
  </si>
  <si>
    <t xml:space="preserve">KENER PEREZ </t>
  </si>
  <si>
    <t xml:space="preserve">PAN, MANIAS, DULCES, MEDICINA NATURAL </t>
  </si>
  <si>
    <t xml:space="preserve">BREAD,PEANUTSS,CANDYS,NATURAL MEDICINE </t>
  </si>
  <si>
    <t>408M</t>
  </si>
  <si>
    <t xml:space="preserve">MARIO LOPEZ </t>
  </si>
  <si>
    <t xml:space="preserve">REYNALDO LOPEZ </t>
  </si>
  <si>
    <t xml:space="preserve">PAN, CHIPS, MANIAS, CONDIMENTOS </t>
  </si>
  <si>
    <t xml:space="preserve">BREAD,CHIPS,PEANUTSS,CONDIMENTS </t>
  </si>
  <si>
    <t>062M</t>
  </si>
  <si>
    <t xml:space="preserve">YESSENIA CONTRERAS LOPEZ </t>
  </si>
  <si>
    <t xml:space="preserve">CHISTIAN CONTRERAS LOPEZ </t>
  </si>
  <si>
    <t>416M</t>
  </si>
  <si>
    <t xml:space="preserve">LEONOR MARTINEZ </t>
  </si>
  <si>
    <t xml:space="preserve">HEIDY RAMOS </t>
  </si>
  <si>
    <t xml:space="preserve">PAN, CONDIMENTOS, VEGETALES COCIDOS </t>
  </si>
  <si>
    <t xml:space="preserve">BREAD,CONDIMENTS,COOKED VEGETABLES </t>
  </si>
  <si>
    <t>911M</t>
  </si>
  <si>
    <t xml:space="preserve">TELMA GUERRA </t>
  </si>
  <si>
    <t xml:space="preserve">EDY JOEL PEZ </t>
  </si>
  <si>
    <t>PAN, MANIAS, CONSERVA, CONDIMENTOS, MEDICINA NATURAL, ADORNOS</t>
  </si>
  <si>
    <t>BREAD,PEANUTSS,PRESERVE,CONDIMENTS,NATURAL MEDICINE,ADORNOS</t>
  </si>
  <si>
    <t>476M</t>
  </si>
  <si>
    <t xml:space="preserve">MARITZA PALMA </t>
  </si>
  <si>
    <t xml:space="preserve">MELVIN MARTINEZ </t>
  </si>
  <si>
    <t>701M</t>
  </si>
  <si>
    <t xml:space="preserve">ZULLY FLORES </t>
  </si>
  <si>
    <t xml:space="preserve">GUADALUPE FLORES </t>
  </si>
  <si>
    <t xml:space="preserve">ROPA, ZAPATOS, ADORNOS, CIGARROS, CAFE </t>
  </si>
  <si>
    <t xml:space="preserve">CLOTHES,SHOES,ADORNOS,CIGARRETTES,COFFE </t>
  </si>
  <si>
    <t>020M</t>
  </si>
  <si>
    <t>SUSANA FLORES</t>
  </si>
  <si>
    <t xml:space="preserve">ALEJANDRO MARTINEZ </t>
  </si>
  <si>
    <t xml:space="preserve">PAN </t>
  </si>
  <si>
    <t xml:space="preserve">BREAD </t>
  </si>
  <si>
    <t>021M</t>
  </si>
  <si>
    <t xml:space="preserve">CYNTHIA ESPADAS </t>
  </si>
  <si>
    <t xml:space="preserve">EDGAR PACHECO </t>
  </si>
  <si>
    <t>022M</t>
  </si>
  <si>
    <t xml:space="preserve">GRACIELA ESTRADA </t>
  </si>
  <si>
    <t xml:space="preserve">RICARDO RODAS </t>
  </si>
  <si>
    <t>023M</t>
  </si>
  <si>
    <t xml:space="preserve">ISMAEL QUINTANA </t>
  </si>
  <si>
    <t>HUGO FRANCO</t>
  </si>
  <si>
    <t>024M</t>
  </si>
  <si>
    <t xml:space="preserve">ROXANA RODRIGUEZ </t>
  </si>
  <si>
    <t xml:space="preserve">JESUS ESQUIVEL </t>
  </si>
  <si>
    <t xml:space="preserve">DULCES, CHIPS, SOPAS INSTANTANEAS, SOMBREROS, PAN </t>
  </si>
  <si>
    <t>025M</t>
  </si>
  <si>
    <t xml:space="preserve">JAIME SANDOVAL </t>
  </si>
  <si>
    <t xml:space="preserve">GREGORIA CUEVAS </t>
  </si>
  <si>
    <t xml:space="preserve">PAN, CHIPS </t>
  </si>
  <si>
    <t xml:space="preserve">BREAD,CHIPS </t>
  </si>
  <si>
    <t>026M</t>
  </si>
  <si>
    <t xml:space="preserve">ANGEL GUTIERREZ </t>
  </si>
  <si>
    <t xml:space="preserve">JOSEFA MEJIA </t>
  </si>
  <si>
    <t>027M</t>
  </si>
  <si>
    <t xml:space="preserve">ELENA FERNANDEZ </t>
  </si>
  <si>
    <t xml:space="preserve">EUGENIA RIOS </t>
  </si>
  <si>
    <t xml:space="preserve">MANIAS </t>
  </si>
  <si>
    <t xml:space="preserve">PEANUTSS </t>
  </si>
  <si>
    <t>028M</t>
  </si>
  <si>
    <t xml:space="preserve">MIGUEL PADILLA </t>
  </si>
  <si>
    <t>ANTONIO TOSCANO</t>
  </si>
  <si>
    <t>CONSERVA</t>
  </si>
  <si>
    <t>PRESERVE</t>
  </si>
  <si>
    <t xml:space="preserve">CANDYS,CHIPS,SOUPSS INSTANTANEAS,HATS,BREAD </t>
  </si>
  <si>
    <t>402K</t>
  </si>
  <si>
    <t xml:space="preserve">MARY DE MOLINA </t>
  </si>
  <si>
    <t>PAMELA MONKISKO</t>
  </si>
  <si>
    <t xml:space="preserve">PAN, CONSERVA, MIEL, CAFE, CIGARROS </t>
  </si>
  <si>
    <t>NORA</t>
  </si>
  <si>
    <t xml:space="preserve">BREAD,PRESERVE,HONEY,COFFE,CIGARRETTES </t>
  </si>
  <si>
    <t>316K</t>
  </si>
  <si>
    <t xml:space="preserve">ASTRID ARCHILA </t>
  </si>
  <si>
    <t xml:space="preserve">LOIDA ARCHILA </t>
  </si>
  <si>
    <t>ROPA, ACCESORIOS, ZAPATOS, ADORNOS</t>
  </si>
  <si>
    <t>CLOTHES,ACCESORIES,SHOES,ADORNOS</t>
  </si>
  <si>
    <t>221B</t>
  </si>
  <si>
    <t xml:space="preserve">IRIS GREGORIO </t>
  </si>
  <si>
    <t xml:space="preserve">REINA PALMA </t>
  </si>
  <si>
    <t xml:space="preserve">ROPA, ACCESORIOS, CONSERVA, DULCES, MEDICINA NATURAL </t>
  </si>
  <si>
    <t xml:space="preserve">CLOTHES,ACCESORIES,PRESERVE,CANDYS,NATURAL MEDICINE </t>
  </si>
  <si>
    <t>104K</t>
  </si>
  <si>
    <t xml:space="preserve">SULMI MARTINEZ </t>
  </si>
  <si>
    <t xml:space="preserve">LUIS EDUARDO GARCIA </t>
  </si>
  <si>
    <t xml:space="preserve">ROPA, DOCUMENTOS, SUPLEMENTO VITAMINICO </t>
  </si>
  <si>
    <t xml:space="preserve">SULI </t>
  </si>
  <si>
    <t xml:space="preserve">CLOTHES,DOCUMENTS,VITAMIN SUPPLEMENTS </t>
  </si>
  <si>
    <t>ROPA, DULCES, ZAPATOS, REGALOS, DOCUMENTOS</t>
  </si>
  <si>
    <t>CLOTHES,CANDYS,SHOES,GIFTS,DOCUMENTS</t>
  </si>
  <si>
    <t>014M</t>
  </si>
  <si>
    <t xml:space="preserve">MARLENI MORALES </t>
  </si>
  <si>
    <t xml:space="preserve">MARTA JILUA MEJIA </t>
  </si>
  <si>
    <t xml:space="preserve">CLOTHES,VITAMIN SUPPLEMENTS </t>
  </si>
  <si>
    <t>164M</t>
  </si>
  <si>
    <t>SILVIA RIVIERA</t>
  </si>
  <si>
    <t xml:space="preserve">AURA RIVERA </t>
  </si>
  <si>
    <t>PAN, ROPA, MEDICINA NATURAL</t>
  </si>
  <si>
    <t>BREAD,CLOTHES,NATURAL MEDICINE</t>
  </si>
  <si>
    <t>031M</t>
  </si>
  <si>
    <t xml:space="preserve">MIGUEL ANGEL ALCANA </t>
  </si>
  <si>
    <t xml:space="preserve">MARIA DEL RIO RIOS </t>
  </si>
  <si>
    <t xml:space="preserve">ZAPATOS </t>
  </si>
  <si>
    <t xml:space="preserve">SHOES </t>
  </si>
  <si>
    <t>032M</t>
  </si>
  <si>
    <t xml:space="preserve">MONICA SAGRARIO OCHOA </t>
  </si>
  <si>
    <t xml:space="preserve">MARCO ANTONIO TRIGO </t>
  </si>
  <si>
    <t>201M</t>
  </si>
  <si>
    <t xml:space="preserve">PALMERINDA LEMUS </t>
  </si>
  <si>
    <t xml:space="preserve">MARITZA LEMUS </t>
  </si>
  <si>
    <t>ROPA, SUPLEMENTO VITAMINICO</t>
  </si>
  <si>
    <t>GUA</t>
  </si>
  <si>
    <t>JFK</t>
  </si>
  <si>
    <t>F703</t>
  </si>
  <si>
    <t>GT</t>
  </si>
  <si>
    <t>K</t>
  </si>
  <si>
    <t>NO</t>
  </si>
  <si>
    <t>LR</t>
  </si>
  <si>
    <t>USA</t>
  </si>
  <si>
    <t>LOS AMATES</t>
  </si>
  <si>
    <t>GUATEMALA</t>
  </si>
  <si>
    <t>US</t>
  </si>
  <si>
    <t>A</t>
  </si>
  <si>
    <t>USD</t>
  </si>
  <si>
    <t>Y</t>
  </si>
  <si>
    <t>CONCEPCION LAS MINAS</t>
  </si>
  <si>
    <t>QUETZALTEPEQUE</t>
  </si>
  <si>
    <t>PUERTO BARRIOS</t>
  </si>
  <si>
    <t>PETEN POPTUN</t>
  </si>
  <si>
    <t>MORALES</t>
  </si>
  <si>
    <t>CHIQUIMULA</t>
  </si>
  <si>
    <t>SAN JOSE LA ARADA</t>
  </si>
  <si>
    <t>IPALA</t>
  </si>
  <si>
    <t>ESQUIPULAS</t>
  </si>
  <si>
    <t xml:space="preserve">PALMERIDA LEMUS </t>
  </si>
  <si>
    <t>ROPA,SUPLEMENTO VITAMINICO</t>
  </si>
  <si>
    <t>CLOTHES,VITAMIN SUPPLEMENTS</t>
  </si>
  <si>
    <t xml:space="preserve">MARTIZA LEMUS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</si>
</sst>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9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  <xf numFmtId="0" fontId="21" fillId="0" borderId="14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CC"/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9" t="s">
        <v>680</v>
      </c>
      <c r="C1" s="119"/>
      <c r="D1" s="119"/>
      <c r="E1" s="119"/>
      <c r="F1" s="2"/>
      <c r="G1" s="3">
        <v>22</v>
      </c>
      <c r="J1" s="4" t="s">
        <v>14</v>
      </c>
    </row>
    <row r="2" spans="1:26" ht="17.25" customHeight="1" x14ac:dyDescent="0.25">
      <c r="A2" s="5" t="s">
        <v>6</v>
      </c>
      <c r="B2" s="120" t="str">
        <f>VLOOKUP(I3,'Base de Datos'!J2:L195,2,FALSE)</f>
        <v>LOTE 10 ALDEA EL ZAPATAL ZONA 0</v>
      </c>
      <c r="C2" s="120"/>
      <c r="D2" s="120"/>
      <c r="E2" s="120"/>
      <c r="F2" s="127" t="str">
        <f>VLOOKUP(I3,'Base de Datos'!J2:L195,3,FALSE)</f>
        <v>ESQUIPULAS - GUATEMALA</v>
      </c>
      <c r="G2" s="128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4" t="s">
        <v>681</v>
      </c>
      <c r="C3" s="94"/>
      <c r="D3" s="94"/>
      <c r="E3" s="94"/>
      <c r="F3" s="10"/>
      <c r="G3" s="11"/>
      <c r="I3" s="12">
        <v>43</v>
      </c>
      <c r="J3" s="12">
        <v>43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6" t="str">
        <f>VLOOKUP(J3,'Base de Datos'!A2:F95,2,FALSE)</f>
        <v>328 LEXINGTON AVE</v>
      </c>
      <c r="C4" s="126"/>
      <c r="D4" s="126" t="str">
        <f>VLOOKUP(J3,'Base de Datos'!A2:F95,3,FALSE)</f>
        <v>MOUNTKISCO</v>
      </c>
      <c r="E4" s="126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30">
        <v>2404811771</v>
      </c>
      <c r="C5" s="130"/>
      <c r="D5" s="127"/>
      <c r="E5" s="127"/>
      <c r="F5" s="17" t="s">
        <v>4</v>
      </c>
      <c r="G5" s="18">
        <f ca="1">TODAY()</f>
        <v>45420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4" t="s">
        <v>0</v>
      </c>
      <c r="B7" s="125"/>
      <c r="C7" s="125" t="s">
        <v>1</v>
      </c>
      <c r="D7" s="125"/>
      <c r="E7" s="125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9" t="s">
        <v>23</v>
      </c>
      <c r="B8" s="100"/>
      <c r="C8" s="105" t="s">
        <v>682</v>
      </c>
      <c r="D8" s="106"/>
      <c r="E8" s="107"/>
      <c r="F8" s="96">
        <v>55</v>
      </c>
      <c r="G8" s="92" t="s">
        <v>679</v>
      </c>
      <c r="J8" s="24"/>
      <c r="K8" s="24"/>
      <c r="L8" s="24"/>
    </row>
    <row r="9" spans="1:26" ht="15" customHeight="1" x14ac:dyDescent="0.25">
      <c r="A9" s="101"/>
      <c r="B9" s="102"/>
      <c r="C9" s="108"/>
      <c r="D9" s="109"/>
      <c r="E9" s="110"/>
      <c r="F9" s="97"/>
      <c r="G9" s="93"/>
      <c r="I9" s="25"/>
      <c r="J9" s="24"/>
      <c r="K9" s="24"/>
      <c r="L9" s="24"/>
    </row>
    <row r="10" spans="1:26" ht="15" customHeight="1" x14ac:dyDescent="0.2">
      <c r="A10" s="101"/>
      <c r="B10" s="102"/>
      <c r="C10" s="108"/>
      <c r="D10" s="109"/>
      <c r="E10" s="110"/>
      <c r="F10" s="97"/>
      <c r="G10" s="93"/>
      <c r="I10" s="26"/>
      <c r="J10" s="24"/>
      <c r="K10" s="24"/>
      <c r="L10" s="24"/>
    </row>
    <row r="11" spans="1:26" ht="15" customHeight="1" x14ac:dyDescent="0.2">
      <c r="A11" s="101"/>
      <c r="B11" s="102"/>
      <c r="C11" s="108"/>
      <c r="D11" s="109"/>
      <c r="E11" s="110"/>
      <c r="F11" s="97"/>
      <c r="G11" s="93"/>
    </row>
    <row r="12" spans="1:26" ht="27" customHeight="1" x14ac:dyDescent="0.2">
      <c r="A12" s="101"/>
      <c r="B12" s="102"/>
      <c r="C12" s="108"/>
      <c r="D12" s="109"/>
      <c r="E12" s="110"/>
      <c r="F12" s="97" t="s">
        <v>13</v>
      </c>
      <c r="G12" s="93"/>
    </row>
    <row r="13" spans="1:26" ht="25.5" customHeight="1" x14ac:dyDescent="0.35">
      <c r="A13" s="103"/>
      <c r="B13" s="104"/>
      <c r="C13" s="111"/>
      <c r="D13" s="112"/>
      <c r="E13" s="113"/>
      <c r="F13" s="98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1" t="s">
        <v>3</v>
      </c>
      <c r="B15" s="122"/>
      <c r="C15" s="123" t="s">
        <v>446</v>
      </c>
      <c r="D15" s="123"/>
      <c r="E15" s="123"/>
      <c r="F15" s="31" t="s">
        <v>7</v>
      </c>
      <c r="G15" s="32" t="str">
        <f>F2</f>
        <v>ESQUIPULAS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5" t="s">
        <v>12</v>
      </c>
      <c r="B17" s="95"/>
      <c r="C17" s="95"/>
      <c r="D17" s="95"/>
      <c r="E17" s="95"/>
      <c r="F17" s="95"/>
      <c r="G17" s="95"/>
      <c r="H17" s="26"/>
      <c r="J17" s="131" t="s">
        <v>405</v>
      </c>
      <c r="K17" s="131"/>
      <c r="L17" s="131"/>
      <c r="M17" s="131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1"/>
      <c r="K18" s="131"/>
      <c r="L18" s="131"/>
      <c r="M18" s="131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1"/>
      <c r="K19" s="131"/>
      <c r="L19" s="131"/>
      <c r="M19" s="131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9"/>
      <c r="K21" s="129"/>
      <c r="L21" s="129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9"/>
      <c r="K22" s="129"/>
      <c r="L22" s="129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9"/>
      <c r="K23" s="129"/>
      <c r="L23" s="129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4" t="s">
        <v>320</v>
      </c>
      <c r="J26" s="115"/>
      <c r="K26" s="115"/>
      <c r="L26" s="116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7">
        <f>SUM(Gradle!D2:D1048576)</f>
        <v>1084.0499999999997</v>
      </c>
      <c r="J27" s="117"/>
      <c r="K27" s="117"/>
      <c r="L27" s="117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8"/>
      <c r="B35" s="118"/>
      <c r="C35" s="118"/>
      <c r="D35" s="118"/>
      <c r="E35" s="118"/>
      <c r="F35" s="118"/>
      <c r="G35" s="118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3"/>
  <sheetViews>
    <sheetView topLeftCell="A22" zoomScale="124" zoomScaleNormal="124" workbookViewId="0">
      <selection activeCell="B34" sqref="B34"/>
    </sheetView>
  </sheetViews>
  <sheetFormatPr baseColWidth="10" defaultRowHeight="15" x14ac:dyDescent="0.2"/>
  <cols>
    <col min="1" max="1" width="6.28515625" style="63" customWidth="1"/>
    <col min="2" max="2" width="11.42578125" style="53"/>
    <col min="3" max="3" width="0" style="53" hidden="1" customWidth="1"/>
    <col min="4" max="5" width="11.42578125" style="53"/>
    <col min="6" max="6" width="85.5703125" style="53" bestFit="1" customWidth="1"/>
    <col min="7" max="7" width="87.28515625" style="53" bestFit="1" customWidth="1"/>
    <col min="8" max="8" width="36.42578125" style="53" bestFit="1" customWidth="1"/>
    <col min="9" max="9" width="55.28515625" style="53" bestFit="1" customWidth="1"/>
    <col min="10" max="10" width="47.28515625" style="53" bestFit="1" customWidth="1"/>
    <col min="11" max="11" width="39.71093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138" t="s">
        <v>426</v>
      </c>
      <c r="B1" s="78" t="s">
        <v>432</v>
      </c>
      <c r="C1" s="78" t="s">
        <v>439</v>
      </c>
      <c r="D1" s="78" t="s">
        <v>438</v>
      </c>
      <c r="E1" s="78" t="s">
        <v>406</v>
      </c>
      <c r="F1" s="78" t="s">
        <v>441</v>
      </c>
      <c r="G1" s="78" t="s">
        <v>440</v>
      </c>
      <c r="H1" s="78" t="s">
        <v>427</v>
      </c>
      <c r="I1" s="78" t="s">
        <v>428</v>
      </c>
      <c r="J1" s="78" t="s">
        <v>435</v>
      </c>
      <c r="K1" s="78" t="s">
        <v>429</v>
      </c>
      <c r="L1" s="78" t="s">
        <v>430</v>
      </c>
      <c r="M1" s="78" t="s">
        <v>431</v>
      </c>
      <c r="N1" s="78" t="s">
        <v>436</v>
      </c>
      <c r="O1" s="78" t="s">
        <v>16</v>
      </c>
      <c r="P1" s="78" t="s">
        <v>437</v>
      </c>
      <c r="Q1" s="78" t="s">
        <v>433</v>
      </c>
      <c r="R1" s="78" t="s">
        <v>442</v>
      </c>
      <c r="T1" s="61" t="s">
        <v>434</v>
      </c>
      <c r="U1" s="53">
        <v>53</v>
      </c>
    </row>
    <row r="2" spans="1:21" x14ac:dyDescent="0.2">
      <c r="A2" s="50">
        <v>1</v>
      </c>
      <c r="B2" s="50" t="s">
        <v>448</v>
      </c>
      <c r="C2" s="51">
        <v>45</v>
      </c>
      <c r="D2" s="51">
        <v>20.41</v>
      </c>
      <c r="E2" s="51" t="s">
        <v>453</v>
      </c>
      <c r="F2" s="51" t="s">
        <v>451</v>
      </c>
      <c r="G2" s="51" t="s">
        <v>454</v>
      </c>
      <c r="H2" s="51" t="s">
        <v>449</v>
      </c>
      <c r="I2" s="51" t="s">
        <v>193</v>
      </c>
      <c r="J2" s="51" t="s">
        <v>113</v>
      </c>
      <c r="K2" s="51" t="s">
        <v>450</v>
      </c>
      <c r="L2" s="51">
        <v>2504661220</v>
      </c>
      <c r="M2" s="51" t="s">
        <v>86</v>
      </c>
      <c r="N2" s="51" t="s">
        <v>87</v>
      </c>
      <c r="O2" s="51" t="s">
        <v>18</v>
      </c>
      <c r="P2" s="51">
        <v>10514</v>
      </c>
      <c r="Q2" s="51" t="s">
        <v>452</v>
      </c>
      <c r="R2" s="51">
        <v>10</v>
      </c>
    </row>
    <row r="3" spans="1:21" x14ac:dyDescent="0.2">
      <c r="A3" s="50">
        <v>1</v>
      </c>
      <c r="B3" s="50" t="s">
        <v>455</v>
      </c>
      <c r="C3" s="51">
        <v>45</v>
      </c>
      <c r="D3" s="51">
        <v>20.41</v>
      </c>
      <c r="E3" s="51" t="s">
        <v>453</v>
      </c>
      <c r="F3" s="51" t="s">
        <v>458</v>
      </c>
      <c r="G3" s="51" t="s">
        <v>460</v>
      </c>
      <c r="H3" s="51" t="s">
        <v>456</v>
      </c>
      <c r="I3" s="51" t="s">
        <v>296</v>
      </c>
      <c r="J3" s="51" t="s">
        <v>286</v>
      </c>
      <c r="K3" s="51" t="s">
        <v>457</v>
      </c>
      <c r="L3" s="51">
        <v>2407884612</v>
      </c>
      <c r="M3" s="51" t="s">
        <v>88</v>
      </c>
      <c r="N3" s="51" t="s">
        <v>26</v>
      </c>
      <c r="O3" s="51" t="s">
        <v>18</v>
      </c>
      <c r="P3" s="51">
        <v>10509</v>
      </c>
      <c r="Q3" s="51" t="s">
        <v>459</v>
      </c>
      <c r="R3" s="51">
        <v>10</v>
      </c>
    </row>
    <row r="4" spans="1:21" x14ac:dyDescent="0.2">
      <c r="A4" s="50">
        <v>2</v>
      </c>
      <c r="B4" s="50" t="s">
        <v>461</v>
      </c>
      <c r="C4" s="51">
        <v>45</v>
      </c>
      <c r="D4" s="51">
        <v>20.41</v>
      </c>
      <c r="E4" s="51" t="s">
        <v>453</v>
      </c>
      <c r="F4" s="51" t="s">
        <v>463</v>
      </c>
      <c r="G4" s="51" t="s">
        <v>464</v>
      </c>
      <c r="H4" s="51" t="s">
        <v>449</v>
      </c>
      <c r="I4" s="51" t="s">
        <v>243</v>
      </c>
      <c r="J4" s="51" t="s">
        <v>273</v>
      </c>
      <c r="K4" s="51" t="s">
        <v>462</v>
      </c>
      <c r="L4" s="51">
        <v>6673919003</v>
      </c>
      <c r="M4" s="51" t="s">
        <v>89</v>
      </c>
      <c r="N4" s="51" t="s">
        <v>28</v>
      </c>
      <c r="O4" s="51" t="s">
        <v>18</v>
      </c>
      <c r="P4" s="51">
        <v>10549</v>
      </c>
      <c r="Q4" s="51" t="s">
        <v>459</v>
      </c>
      <c r="R4" s="51">
        <v>10</v>
      </c>
    </row>
    <row r="5" spans="1:21" x14ac:dyDescent="0.2">
      <c r="A5" s="50">
        <v>2</v>
      </c>
      <c r="B5" s="50" t="s">
        <v>465</v>
      </c>
      <c r="C5" s="51">
        <v>45</v>
      </c>
      <c r="D5" s="51">
        <v>20.41</v>
      </c>
      <c r="E5" s="51" t="s">
        <v>453</v>
      </c>
      <c r="F5" s="51" t="s">
        <v>463</v>
      </c>
      <c r="G5" s="51" t="s">
        <v>464</v>
      </c>
      <c r="H5" s="51" t="s">
        <v>466</v>
      </c>
      <c r="I5" s="51" t="s">
        <v>180</v>
      </c>
      <c r="J5" s="51" t="s">
        <v>276</v>
      </c>
      <c r="K5" s="51" t="s">
        <v>467</v>
      </c>
      <c r="L5" s="51">
        <v>2654002310</v>
      </c>
      <c r="M5" s="51" t="s">
        <v>90</v>
      </c>
      <c r="N5" s="51" t="s">
        <v>28</v>
      </c>
      <c r="O5" s="51" t="s">
        <v>18</v>
      </c>
      <c r="P5" s="51">
        <v>10549</v>
      </c>
      <c r="Q5" s="51" t="s">
        <v>468</v>
      </c>
      <c r="R5" s="51">
        <v>10</v>
      </c>
    </row>
    <row r="6" spans="1:21" x14ac:dyDescent="0.2">
      <c r="A6" s="50">
        <v>3</v>
      </c>
      <c r="B6" s="50" t="s">
        <v>469</v>
      </c>
      <c r="C6" s="51">
        <v>45</v>
      </c>
      <c r="D6" s="51">
        <v>20.41</v>
      </c>
      <c r="E6" s="51" t="s">
        <v>453</v>
      </c>
      <c r="F6" s="51" t="s">
        <v>463</v>
      </c>
      <c r="G6" s="51" t="s">
        <v>464</v>
      </c>
      <c r="H6" s="51" t="s">
        <v>449</v>
      </c>
      <c r="I6" s="51" t="s">
        <v>281</v>
      </c>
      <c r="J6" s="51" t="s">
        <v>276</v>
      </c>
      <c r="K6" s="51" t="s">
        <v>470</v>
      </c>
      <c r="L6" s="51">
        <v>2406063619</v>
      </c>
      <c r="M6" s="51" t="s">
        <v>91</v>
      </c>
      <c r="N6" s="51" t="s">
        <v>26</v>
      </c>
      <c r="O6" s="51" t="s">
        <v>18</v>
      </c>
      <c r="P6" s="51">
        <v>10507</v>
      </c>
      <c r="Q6" s="51" t="s">
        <v>471</v>
      </c>
      <c r="R6" s="51">
        <v>10</v>
      </c>
    </row>
    <row r="7" spans="1:21" x14ac:dyDescent="0.2">
      <c r="A7" s="50">
        <v>3</v>
      </c>
      <c r="B7" s="50" t="s">
        <v>472</v>
      </c>
      <c r="C7" s="51">
        <v>45</v>
      </c>
      <c r="D7" s="51">
        <v>20.41</v>
      </c>
      <c r="E7" s="51" t="s">
        <v>453</v>
      </c>
      <c r="F7" s="51" t="s">
        <v>458</v>
      </c>
      <c r="G7" s="51" t="s">
        <v>460</v>
      </c>
      <c r="H7" s="51" t="s">
        <v>473</v>
      </c>
      <c r="I7" s="51" t="s">
        <v>259</v>
      </c>
      <c r="J7" s="51" t="s">
        <v>275</v>
      </c>
      <c r="K7" s="51" t="s">
        <v>474</v>
      </c>
      <c r="L7" s="51">
        <v>2404849900</v>
      </c>
      <c r="M7" s="51" t="s">
        <v>92</v>
      </c>
      <c r="N7" s="51" t="s">
        <v>28</v>
      </c>
      <c r="O7" s="51" t="s">
        <v>18</v>
      </c>
      <c r="P7" s="51">
        <v>10509</v>
      </c>
      <c r="Q7" s="51" t="s">
        <v>475</v>
      </c>
      <c r="R7" s="51">
        <v>10</v>
      </c>
    </row>
    <row r="8" spans="1:21" x14ac:dyDescent="0.2">
      <c r="A8" s="50">
        <v>4</v>
      </c>
      <c r="B8" s="50" t="s">
        <v>476</v>
      </c>
      <c r="C8" s="51">
        <v>70</v>
      </c>
      <c r="D8" s="51">
        <v>31.75</v>
      </c>
      <c r="E8" s="51" t="s">
        <v>453</v>
      </c>
      <c r="F8" s="51" t="s">
        <v>479</v>
      </c>
      <c r="G8" s="51" t="s">
        <v>481</v>
      </c>
      <c r="H8" s="51" t="s">
        <v>477</v>
      </c>
      <c r="I8" s="51" t="s">
        <v>284</v>
      </c>
      <c r="J8" s="51" t="s">
        <v>276</v>
      </c>
      <c r="K8" s="51" t="s">
        <v>478</v>
      </c>
      <c r="L8" s="51">
        <v>6994213032</v>
      </c>
      <c r="M8" s="51" t="s">
        <v>21</v>
      </c>
      <c r="N8" s="51" t="s">
        <v>22</v>
      </c>
      <c r="O8" s="51" t="s">
        <v>18</v>
      </c>
      <c r="P8" s="51">
        <v>10080</v>
      </c>
      <c r="Q8" s="51" t="s">
        <v>480</v>
      </c>
      <c r="R8" s="51">
        <v>13</v>
      </c>
    </row>
    <row r="9" spans="1:21" x14ac:dyDescent="0.2">
      <c r="A9" s="50">
        <v>5</v>
      </c>
      <c r="B9" s="50" t="s">
        <v>445</v>
      </c>
      <c r="C9" s="51">
        <v>45</v>
      </c>
      <c r="D9" s="51">
        <v>20.41</v>
      </c>
      <c r="E9" s="51" t="s">
        <v>453</v>
      </c>
      <c r="F9" s="51" t="s">
        <v>458</v>
      </c>
      <c r="G9" s="51" t="s">
        <v>460</v>
      </c>
      <c r="H9" s="51" t="s">
        <v>482</v>
      </c>
      <c r="I9" s="51" t="s">
        <v>204</v>
      </c>
      <c r="J9" s="51" t="s">
        <v>271</v>
      </c>
      <c r="K9" s="51" t="s">
        <v>483</v>
      </c>
      <c r="L9" s="51">
        <v>3014339771</v>
      </c>
      <c r="M9" s="51" t="s">
        <v>25</v>
      </c>
      <c r="N9" s="51" t="s">
        <v>26</v>
      </c>
      <c r="O9" s="51" t="s">
        <v>18</v>
      </c>
      <c r="P9" s="51">
        <v>10549</v>
      </c>
      <c r="Q9" s="51" t="s">
        <v>484</v>
      </c>
      <c r="R9" s="51">
        <v>10</v>
      </c>
    </row>
    <row r="10" spans="1:21" x14ac:dyDescent="0.2">
      <c r="A10" s="50">
        <v>5</v>
      </c>
      <c r="B10" s="50" t="s">
        <v>485</v>
      </c>
      <c r="C10" s="51">
        <v>45</v>
      </c>
      <c r="D10" s="51">
        <v>20.41</v>
      </c>
      <c r="E10" s="51" t="s">
        <v>453</v>
      </c>
      <c r="F10" s="51" t="s">
        <v>488</v>
      </c>
      <c r="G10" s="51" t="s">
        <v>490</v>
      </c>
      <c r="H10" s="51" t="s">
        <v>486</v>
      </c>
      <c r="I10" s="51" t="s">
        <v>268</v>
      </c>
      <c r="J10" s="51" t="s">
        <v>275</v>
      </c>
      <c r="K10" s="51" t="s">
        <v>487</v>
      </c>
      <c r="L10" s="51">
        <v>2406484990</v>
      </c>
      <c r="M10" s="51" t="s">
        <v>27</v>
      </c>
      <c r="N10" s="51" t="s">
        <v>28</v>
      </c>
      <c r="O10" s="51" t="s">
        <v>18</v>
      </c>
      <c r="P10" s="51">
        <v>10549</v>
      </c>
      <c r="Q10" s="51" t="s">
        <v>489</v>
      </c>
      <c r="R10" s="51">
        <v>10</v>
      </c>
    </row>
    <row r="11" spans="1:21" x14ac:dyDescent="0.2">
      <c r="A11" s="50">
        <v>6</v>
      </c>
      <c r="B11" s="50" t="s">
        <v>491</v>
      </c>
      <c r="C11" s="51">
        <v>45</v>
      </c>
      <c r="D11" s="51">
        <v>20.41</v>
      </c>
      <c r="E11" s="51" t="s">
        <v>453</v>
      </c>
      <c r="F11" s="51" t="s">
        <v>451</v>
      </c>
      <c r="G11" s="51" t="s">
        <v>454</v>
      </c>
      <c r="H11" s="51" t="s">
        <v>492</v>
      </c>
      <c r="I11" s="51" t="s">
        <v>127</v>
      </c>
      <c r="J11" s="51" t="s">
        <v>269</v>
      </c>
      <c r="K11" s="51" t="s">
        <v>493</v>
      </c>
      <c r="L11" s="51">
        <v>2402241149</v>
      </c>
      <c r="M11" s="51" t="s">
        <v>29</v>
      </c>
      <c r="N11" s="51" t="s">
        <v>28</v>
      </c>
      <c r="O11" s="51" t="s">
        <v>18</v>
      </c>
      <c r="P11" s="51">
        <v>10549</v>
      </c>
      <c r="Q11" s="51" t="s">
        <v>494</v>
      </c>
      <c r="R11" s="51">
        <v>10</v>
      </c>
    </row>
    <row r="12" spans="1:21" x14ac:dyDescent="0.2">
      <c r="A12" s="50">
        <v>6</v>
      </c>
      <c r="B12" s="50" t="s">
        <v>495</v>
      </c>
      <c r="C12" s="51">
        <v>45</v>
      </c>
      <c r="D12" s="51">
        <v>20.41</v>
      </c>
      <c r="E12" s="51" t="s">
        <v>453</v>
      </c>
      <c r="F12" s="51" t="s">
        <v>451</v>
      </c>
      <c r="G12" s="51" t="s">
        <v>454</v>
      </c>
      <c r="H12" s="51" t="s">
        <v>496</v>
      </c>
      <c r="I12" s="51" t="s">
        <v>257</v>
      </c>
      <c r="J12" s="51" t="s">
        <v>274</v>
      </c>
      <c r="K12" s="51" t="s">
        <v>497</v>
      </c>
      <c r="L12" s="51">
        <v>4102273006</v>
      </c>
      <c r="M12" s="51" t="s">
        <v>30</v>
      </c>
      <c r="N12" s="51" t="s">
        <v>28</v>
      </c>
      <c r="O12" s="51" t="s">
        <v>18</v>
      </c>
      <c r="P12" s="51">
        <v>10549</v>
      </c>
      <c r="Q12" s="51" t="s">
        <v>498</v>
      </c>
      <c r="R12" s="51">
        <v>10</v>
      </c>
    </row>
    <row r="13" spans="1:21" x14ac:dyDescent="0.2">
      <c r="A13" s="50">
        <v>7</v>
      </c>
      <c r="B13" s="50" t="s">
        <v>499</v>
      </c>
      <c r="C13" s="51">
        <v>65</v>
      </c>
      <c r="D13" s="51">
        <v>29.48</v>
      </c>
      <c r="E13" s="51" t="s">
        <v>453</v>
      </c>
      <c r="F13" s="51" t="s">
        <v>463</v>
      </c>
      <c r="G13" s="51" t="s">
        <v>464</v>
      </c>
      <c r="H13" s="51" t="s">
        <v>500</v>
      </c>
      <c r="I13" s="51" t="s">
        <v>169</v>
      </c>
      <c r="J13" s="51" t="s">
        <v>163</v>
      </c>
      <c r="K13" s="51" t="s">
        <v>501</v>
      </c>
      <c r="L13" s="51">
        <v>2404906070</v>
      </c>
      <c r="M13" s="51" t="s">
        <v>31</v>
      </c>
      <c r="N13" s="51" t="s">
        <v>28</v>
      </c>
      <c r="O13" s="51" t="s">
        <v>18</v>
      </c>
      <c r="P13" s="51">
        <v>10549</v>
      </c>
      <c r="Q13" s="51" t="s">
        <v>494</v>
      </c>
      <c r="R13" s="51">
        <v>12</v>
      </c>
    </row>
    <row r="14" spans="1:21" x14ac:dyDescent="0.2">
      <c r="A14" s="50">
        <v>8</v>
      </c>
      <c r="B14" s="50" t="s">
        <v>502</v>
      </c>
      <c r="C14" s="51">
        <v>45</v>
      </c>
      <c r="D14" s="51">
        <v>20.41</v>
      </c>
      <c r="E14" s="51" t="s">
        <v>453</v>
      </c>
      <c r="F14" s="51" t="s">
        <v>463</v>
      </c>
      <c r="G14" s="51" t="s">
        <v>464</v>
      </c>
      <c r="H14" s="51" t="s">
        <v>503</v>
      </c>
      <c r="I14" s="51" t="s">
        <v>157</v>
      </c>
      <c r="J14" s="51" t="s">
        <v>270</v>
      </c>
      <c r="K14" s="51" t="s">
        <v>504</v>
      </c>
      <c r="L14" s="51">
        <v>2406011475</v>
      </c>
      <c r="M14" s="51" t="s">
        <v>32</v>
      </c>
      <c r="N14" s="51" t="s">
        <v>28</v>
      </c>
      <c r="O14" s="51" t="s">
        <v>18</v>
      </c>
      <c r="P14" s="51">
        <v>10549</v>
      </c>
      <c r="Q14" s="51" t="s">
        <v>505</v>
      </c>
      <c r="R14" s="51">
        <v>10</v>
      </c>
    </row>
    <row r="15" spans="1:21" x14ac:dyDescent="0.2">
      <c r="A15" s="50">
        <v>8</v>
      </c>
      <c r="B15" s="50" t="s">
        <v>506</v>
      </c>
      <c r="C15" s="51">
        <v>30</v>
      </c>
      <c r="D15" s="51">
        <v>13.61</v>
      </c>
      <c r="E15" s="51" t="s">
        <v>453</v>
      </c>
      <c r="F15" s="51" t="s">
        <v>509</v>
      </c>
      <c r="G15" s="51" t="s">
        <v>510</v>
      </c>
      <c r="H15" s="51" t="s">
        <v>507</v>
      </c>
      <c r="I15" s="51" t="s">
        <v>119</v>
      </c>
      <c r="J15" s="51" t="s">
        <v>269</v>
      </c>
      <c r="K15" s="51" t="s">
        <v>508</v>
      </c>
      <c r="L15" s="51">
        <v>9065451123</v>
      </c>
      <c r="M15" s="51" t="s">
        <v>33</v>
      </c>
      <c r="N15" s="51" t="s">
        <v>28</v>
      </c>
      <c r="O15" s="51" t="s">
        <v>18</v>
      </c>
      <c r="P15" s="51">
        <v>10549</v>
      </c>
      <c r="Q15" s="51" t="s">
        <v>480</v>
      </c>
      <c r="R15" s="51">
        <v>9</v>
      </c>
    </row>
    <row r="16" spans="1:21" x14ac:dyDescent="0.2">
      <c r="A16" s="50">
        <v>9</v>
      </c>
      <c r="B16" s="50" t="s">
        <v>524</v>
      </c>
      <c r="C16" s="51">
        <v>50</v>
      </c>
      <c r="D16" s="51">
        <v>22.68</v>
      </c>
      <c r="E16" s="51" t="s">
        <v>453</v>
      </c>
      <c r="F16" s="51" t="s">
        <v>526</v>
      </c>
      <c r="G16" s="51" t="s">
        <v>527</v>
      </c>
      <c r="H16" s="51" t="s">
        <v>449</v>
      </c>
      <c r="I16" s="51" t="s">
        <v>216</v>
      </c>
      <c r="J16" s="51" t="s">
        <v>272</v>
      </c>
      <c r="K16" s="51" t="s">
        <v>525</v>
      </c>
      <c r="L16" s="51">
        <v>2409702439</v>
      </c>
      <c r="M16" s="51" t="s">
        <v>38</v>
      </c>
      <c r="N16" s="51" t="s">
        <v>39</v>
      </c>
      <c r="O16" s="51" t="s">
        <v>18</v>
      </c>
      <c r="P16" s="51">
        <v>10549</v>
      </c>
      <c r="Q16" s="51" t="s">
        <v>452</v>
      </c>
      <c r="R16" s="51">
        <v>11</v>
      </c>
    </row>
    <row r="17" spans="1:18" x14ac:dyDescent="0.2">
      <c r="A17" s="50">
        <v>10</v>
      </c>
      <c r="B17" s="50" t="s">
        <v>511</v>
      </c>
      <c r="C17" s="51">
        <v>20</v>
      </c>
      <c r="D17" s="51">
        <v>9.07</v>
      </c>
      <c r="E17" s="51" t="s">
        <v>453</v>
      </c>
      <c r="F17" s="51" t="s">
        <v>514</v>
      </c>
      <c r="G17" s="51" t="s">
        <v>516</v>
      </c>
      <c r="H17" s="51" t="s">
        <v>512</v>
      </c>
      <c r="I17" s="51" t="s">
        <v>224</v>
      </c>
      <c r="J17" s="51" t="s">
        <v>272</v>
      </c>
      <c r="K17" s="51" t="s">
        <v>513</v>
      </c>
      <c r="L17" s="51">
        <v>2509946031</v>
      </c>
      <c r="M17" s="51" t="s">
        <v>34</v>
      </c>
      <c r="N17" s="51" t="s">
        <v>28</v>
      </c>
      <c r="O17" s="51" t="s">
        <v>18</v>
      </c>
      <c r="P17" s="51">
        <v>10509</v>
      </c>
      <c r="Q17" s="51" t="s">
        <v>515</v>
      </c>
      <c r="R17" s="51">
        <v>8</v>
      </c>
    </row>
    <row r="18" spans="1:18" x14ac:dyDescent="0.2">
      <c r="A18" s="50">
        <v>10</v>
      </c>
      <c r="B18" s="50" t="s">
        <v>521</v>
      </c>
      <c r="C18" s="51">
        <v>40</v>
      </c>
      <c r="D18" s="51">
        <v>18.14</v>
      </c>
      <c r="E18" s="51" t="s">
        <v>453</v>
      </c>
      <c r="F18" s="51" t="s">
        <v>458</v>
      </c>
      <c r="G18" s="51" t="s">
        <v>460</v>
      </c>
      <c r="H18" s="51" t="s">
        <v>522</v>
      </c>
      <c r="I18" s="51" t="s">
        <v>168</v>
      </c>
      <c r="J18" s="51" t="s">
        <v>163</v>
      </c>
      <c r="K18" s="51" t="s">
        <v>523</v>
      </c>
      <c r="L18" s="51">
        <v>9145019397</v>
      </c>
      <c r="M18" s="51" t="s">
        <v>36</v>
      </c>
      <c r="N18" s="51" t="s">
        <v>37</v>
      </c>
      <c r="O18" s="51" t="s">
        <v>18</v>
      </c>
      <c r="P18" s="51">
        <v>10576</v>
      </c>
      <c r="Q18" s="51" t="s">
        <v>515</v>
      </c>
      <c r="R18" s="51">
        <v>10</v>
      </c>
    </row>
    <row r="19" spans="1:18" x14ac:dyDescent="0.2">
      <c r="A19" s="50">
        <v>11</v>
      </c>
      <c r="B19" s="50" t="s">
        <v>517</v>
      </c>
      <c r="C19" s="51">
        <v>50</v>
      </c>
      <c r="D19" s="51">
        <v>22.68</v>
      </c>
      <c r="E19" s="51" t="s">
        <v>453</v>
      </c>
      <c r="F19" s="51" t="s">
        <v>463</v>
      </c>
      <c r="G19" s="51" t="s">
        <v>464</v>
      </c>
      <c r="H19" s="51" t="s">
        <v>518</v>
      </c>
      <c r="I19" s="51" t="s">
        <v>235</v>
      </c>
      <c r="J19" s="51" t="s">
        <v>273</v>
      </c>
      <c r="K19" s="51" t="s">
        <v>519</v>
      </c>
      <c r="L19" s="51">
        <v>8457430910</v>
      </c>
      <c r="M19" s="51" t="s">
        <v>35</v>
      </c>
      <c r="N19" s="51" t="s">
        <v>26</v>
      </c>
      <c r="O19" s="51" t="s">
        <v>18</v>
      </c>
      <c r="P19" s="51">
        <v>10509</v>
      </c>
      <c r="Q19" s="51" t="s">
        <v>520</v>
      </c>
      <c r="R19" s="51">
        <v>11</v>
      </c>
    </row>
    <row r="20" spans="1:18" x14ac:dyDescent="0.2">
      <c r="A20" s="50">
        <v>12</v>
      </c>
      <c r="B20" s="50" t="s">
        <v>528</v>
      </c>
      <c r="C20" s="51">
        <v>45</v>
      </c>
      <c r="D20" s="51">
        <v>20.41</v>
      </c>
      <c r="E20" s="51" t="s">
        <v>453</v>
      </c>
      <c r="F20" s="51" t="s">
        <v>463</v>
      </c>
      <c r="G20" s="51" t="s">
        <v>464</v>
      </c>
      <c r="H20" s="51" t="s">
        <v>529</v>
      </c>
      <c r="I20" s="51" t="s">
        <v>198</v>
      </c>
      <c r="J20" s="51" t="s">
        <v>271</v>
      </c>
      <c r="K20" s="51" t="s">
        <v>530</v>
      </c>
      <c r="L20" s="51">
        <v>9143844226</v>
      </c>
      <c r="M20" s="51" t="s">
        <v>40</v>
      </c>
      <c r="N20" s="51" t="s">
        <v>39</v>
      </c>
      <c r="O20" s="51" t="s">
        <v>18</v>
      </c>
      <c r="P20" s="51">
        <v>10549</v>
      </c>
      <c r="Q20" s="51" t="s">
        <v>515</v>
      </c>
      <c r="R20" s="51">
        <v>10</v>
      </c>
    </row>
    <row r="21" spans="1:18" x14ac:dyDescent="0.2">
      <c r="A21" s="50">
        <v>12</v>
      </c>
      <c r="B21" s="50" t="s">
        <v>531</v>
      </c>
      <c r="C21" s="51">
        <v>45</v>
      </c>
      <c r="D21" s="51">
        <v>20.41</v>
      </c>
      <c r="E21" s="51" t="s">
        <v>453</v>
      </c>
      <c r="F21" s="51" t="s">
        <v>463</v>
      </c>
      <c r="G21" s="51" t="s">
        <v>464</v>
      </c>
      <c r="H21" s="51" t="s">
        <v>532</v>
      </c>
      <c r="I21" s="51" t="s">
        <v>197</v>
      </c>
      <c r="J21" s="51" t="s">
        <v>271</v>
      </c>
      <c r="K21" s="51" t="s">
        <v>533</v>
      </c>
      <c r="L21" s="51">
        <v>9143348219</v>
      </c>
      <c r="M21" s="51" t="s">
        <v>41</v>
      </c>
      <c r="N21" s="51" t="s">
        <v>39</v>
      </c>
      <c r="O21" s="51" t="s">
        <v>18</v>
      </c>
      <c r="P21" s="51">
        <v>10549</v>
      </c>
      <c r="Q21" s="51" t="s">
        <v>515</v>
      </c>
      <c r="R21" s="51">
        <v>10</v>
      </c>
    </row>
    <row r="22" spans="1:18" x14ac:dyDescent="0.2">
      <c r="A22" s="50">
        <v>13</v>
      </c>
      <c r="B22" s="50" t="s">
        <v>534</v>
      </c>
      <c r="C22" s="51">
        <v>45</v>
      </c>
      <c r="D22" s="51">
        <v>20.41</v>
      </c>
      <c r="E22" s="51" t="s">
        <v>453</v>
      </c>
      <c r="F22" s="51" t="s">
        <v>537</v>
      </c>
      <c r="G22" s="51" t="s">
        <v>538</v>
      </c>
      <c r="H22" s="51" t="s">
        <v>535</v>
      </c>
      <c r="I22" s="51" t="s">
        <v>153</v>
      </c>
      <c r="J22" s="51" t="s">
        <v>270</v>
      </c>
      <c r="K22" s="51" t="s">
        <v>536</v>
      </c>
      <c r="L22" s="51">
        <v>9144868076</v>
      </c>
      <c r="M22" s="51" t="s">
        <v>42</v>
      </c>
      <c r="N22" s="51" t="s">
        <v>28</v>
      </c>
      <c r="O22" s="51" t="s">
        <v>18</v>
      </c>
      <c r="P22" s="51">
        <v>10549</v>
      </c>
      <c r="Q22" s="51" t="s">
        <v>520</v>
      </c>
      <c r="R22" s="51">
        <v>10</v>
      </c>
    </row>
    <row r="23" spans="1:18" x14ac:dyDescent="0.2">
      <c r="A23" s="50">
        <v>13</v>
      </c>
      <c r="B23" s="50" t="s">
        <v>539</v>
      </c>
      <c r="C23" s="51">
        <v>35</v>
      </c>
      <c r="D23" s="51">
        <v>15.88</v>
      </c>
      <c r="E23" s="51" t="s">
        <v>453</v>
      </c>
      <c r="F23" s="51" t="s">
        <v>542</v>
      </c>
      <c r="G23" s="51" t="s">
        <v>543</v>
      </c>
      <c r="H23" s="51" t="s">
        <v>540</v>
      </c>
      <c r="I23" s="51" t="s">
        <v>299</v>
      </c>
      <c r="J23" s="51" t="s">
        <v>271</v>
      </c>
      <c r="K23" s="51" t="s">
        <v>541</v>
      </c>
      <c r="L23" s="51">
        <v>9145341134</v>
      </c>
      <c r="M23" s="51" t="s">
        <v>43</v>
      </c>
      <c r="N23" s="51" t="s">
        <v>28</v>
      </c>
      <c r="O23" s="51" t="s">
        <v>18</v>
      </c>
      <c r="P23" s="51">
        <v>10549</v>
      </c>
      <c r="Q23" s="51" t="s">
        <v>520</v>
      </c>
      <c r="R23" s="51">
        <v>9</v>
      </c>
    </row>
    <row r="24" spans="1:18" x14ac:dyDescent="0.2">
      <c r="A24" s="50">
        <v>14</v>
      </c>
      <c r="B24" s="50" t="s">
        <v>544</v>
      </c>
      <c r="C24" s="51">
        <v>55</v>
      </c>
      <c r="D24" s="51">
        <v>24.95</v>
      </c>
      <c r="E24" s="51" t="s">
        <v>443</v>
      </c>
      <c r="F24" s="51" t="s">
        <v>547</v>
      </c>
      <c r="G24" s="51" t="s">
        <v>548</v>
      </c>
      <c r="H24" s="51" t="s">
        <v>545</v>
      </c>
      <c r="I24" s="51" t="s">
        <v>226</v>
      </c>
      <c r="J24" s="51" t="s">
        <v>272</v>
      </c>
      <c r="K24" s="51" t="s">
        <v>546</v>
      </c>
      <c r="L24" s="51">
        <v>6304662845</v>
      </c>
      <c r="M24" s="51" t="s">
        <v>44</v>
      </c>
      <c r="N24" s="51" t="s">
        <v>28</v>
      </c>
      <c r="O24" s="51" t="s">
        <v>18</v>
      </c>
      <c r="P24" s="51">
        <v>10509</v>
      </c>
      <c r="Q24" s="51" t="s">
        <v>480</v>
      </c>
      <c r="R24" s="51">
        <v>11</v>
      </c>
    </row>
    <row r="25" spans="1:18" x14ac:dyDescent="0.2">
      <c r="A25" s="50">
        <v>15</v>
      </c>
      <c r="B25" s="50" t="s">
        <v>654</v>
      </c>
      <c r="C25" s="51">
        <v>45</v>
      </c>
      <c r="D25" s="51">
        <v>20.41</v>
      </c>
      <c r="E25" s="51" t="s">
        <v>443</v>
      </c>
      <c r="F25" s="51" t="s">
        <v>657</v>
      </c>
      <c r="G25" s="51" t="s">
        <v>659</v>
      </c>
      <c r="H25" s="51" t="s">
        <v>655</v>
      </c>
      <c r="I25" s="51" t="s">
        <v>114</v>
      </c>
      <c r="J25" s="51" t="s">
        <v>269</v>
      </c>
      <c r="K25" s="51" t="s">
        <v>656</v>
      </c>
      <c r="L25" s="51">
        <v>9143736530</v>
      </c>
      <c r="M25" s="51" t="s">
        <v>75</v>
      </c>
      <c r="N25" s="51" t="s">
        <v>28</v>
      </c>
      <c r="O25" s="51" t="s">
        <v>18</v>
      </c>
      <c r="P25" s="51">
        <v>10549</v>
      </c>
      <c r="Q25" s="51" t="s">
        <v>658</v>
      </c>
      <c r="R25" s="51">
        <v>10</v>
      </c>
    </row>
    <row r="26" spans="1:18" x14ac:dyDescent="0.2">
      <c r="A26" s="50">
        <v>16</v>
      </c>
      <c r="B26" s="50" t="s">
        <v>549</v>
      </c>
      <c r="C26" s="51">
        <v>35</v>
      </c>
      <c r="D26" s="51">
        <v>15.88</v>
      </c>
      <c r="E26" s="51" t="s">
        <v>443</v>
      </c>
      <c r="F26" s="51" t="s">
        <v>618</v>
      </c>
      <c r="G26" s="51" t="s">
        <v>637</v>
      </c>
      <c r="H26" s="51" t="s">
        <v>550</v>
      </c>
      <c r="I26" s="51" t="s">
        <v>141</v>
      </c>
      <c r="J26" s="51" t="s">
        <v>270</v>
      </c>
      <c r="K26" s="51" t="s">
        <v>551</v>
      </c>
      <c r="L26" s="51">
        <v>9146822219</v>
      </c>
      <c r="M26" s="51" t="s">
        <v>45</v>
      </c>
      <c r="N26" s="51" t="s">
        <v>28</v>
      </c>
      <c r="O26" s="51" t="s">
        <v>18</v>
      </c>
      <c r="P26" s="51">
        <v>10509</v>
      </c>
      <c r="Q26" s="51" t="s">
        <v>489</v>
      </c>
      <c r="R26" s="51">
        <v>9</v>
      </c>
    </row>
    <row r="27" spans="1:18" x14ac:dyDescent="0.2">
      <c r="A27" s="50">
        <v>17</v>
      </c>
      <c r="B27" s="50" t="s">
        <v>638</v>
      </c>
      <c r="C27" s="51">
        <v>70</v>
      </c>
      <c r="D27" s="51">
        <v>31.75</v>
      </c>
      <c r="E27" s="51" t="s">
        <v>443</v>
      </c>
      <c r="F27" s="51" t="s">
        <v>641</v>
      </c>
      <c r="G27" s="51" t="s">
        <v>643</v>
      </c>
      <c r="H27" s="51" t="s">
        <v>639</v>
      </c>
      <c r="I27" s="51" t="s">
        <v>203</v>
      </c>
      <c r="J27" s="51" t="s">
        <v>271</v>
      </c>
      <c r="K27" s="51" t="s">
        <v>640</v>
      </c>
      <c r="L27" s="51">
        <v>9144838782</v>
      </c>
      <c r="M27" s="51" t="s">
        <v>71</v>
      </c>
      <c r="N27" s="51" t="s">
        <v>70</v>
      </c>
      <c r="O27" s="51" t="s">
        <v>18</v>
      </c>
      <c r="P27" s="51">
        <v>10001</v>
      </c>
      <c r="Q27" s="51" t="s">
        <v>642</v>
      </c>
      <c r="R27" s="51">
        <v>13</v>
      </c>
    </row>
    <row r="28" spans="1:18" x14ac:dyDescent="0.2">
      <c r="A28" s="50">
        <v>18</v>
      </c>
      <c r="B28" s="50" t="s">
        <v>552</v>
      </c>
      <c r="C28" s="51">
        <v>65</v>
      </c>
      <c r="D28" s="51">
        <v>29.48</v>
      </c>
      <c r="E28" s="51" t="s">
        <v>443</v>
      </c>
      <c r="F28" s="51" t="s">
        <v>555</v>
      </c>
      <c r="G28" s="51" t="s">
        <v>556</v>
      </c>
      <c r="H28" s="51" t="s">
        <v>553</v>
      </c>
      <c r="I28" s="51" t="s">
        <v>225</v>
      </c>
      <c r="J28" s="51" t="s">
        <v>272</v>
      </c>
      <c r="K28" s="51" t="s">
        <v>554</v>
      </c>
      <c r="L28" s="51">
        <v>5162656835</v>
      </c>
      <c r="M28" s="51" t="s">
        <v>46</v>
      </c>
      <c r="N28" s="51" t="s">
        <v>28</v>
      </c>
      <c r="O28" s="51" t="s">
        <v>18</v>
      </c>
      <c r="P28" s="51">
        <v>10549</v>
      </c>
      <c r="Q28" s="51" t="s">
        <v>489</v>
      </c>
      <c r="R28" s="51">
        <v>12</v>
      </c>
    </row>
    <row r="29" spans="1:18" x14ac:dyDescent="0.2">
      <c r="A29" s="50">
        <v>19</v>
      </c>
      <c r="B29" s="50" t="s">
        <v>644</v>
      </c>
      <c r="C29" s="51">
        <v>35</v>
      </c>
      <c r="D29" s="51">
        <v>15.88</v>
      </c>
      <c r="E29" s="51" t="s">
        <v>443</v>
      </c>
      <c r="F29" s="51" t="s">
        <v>647</v>
      </c>
      <c r="G29" s="51" t="s">
        <v>648</v>
      </c>
      <c r="H29" s="51" t="s">
        <v>645</v>
      </c>
      <c r="I29" s="51" t="s">
        <v>126</v>
      </c>
      <c r="J29" s="51" t="s">
        <v>269</v>
      </c>
      <c r="K29" s="51" t="s">
        <v>646</v>
      </c>
      <c r="L29" s="51">
        <v>9143141554</v>
      </c>
      <c r="M29" s="51" t="s">
        <v>72</v>
      </c>
      <c r="N29" s="51" t="s">
        <v>28</v>
      </c>
      <c r="O29" s="51" t="s">
        <v>18</v>
      </c>
      <c r="P29" s="51">
        <v>10549</v>
      </c>
      <c r="Q29" s="51" t="s">
        <v>515</v>
      </c>
      <c r="R29" s="51">
        <v>9</v>
      </c>
    </row>
    <row r="30" spans="1:18" x14ac:dyDescent="0.2">
      <c r="A30" s="50">
        <v>20</v>
      </c>
      <c r="B30" s="50" t="s">
        <v>557</v>
      </c>
      <c r="C30" s="51">
        <v>75</v>
      </c>
      <c r="D30" s="51">
        <v>34.020000000000003</v>
      </c>
      <c r="E30" s="51" t="s">
        <v>443</v>
      </c>
      <c r="F30" s="51" t="s">
        <v>555</v>
      </c>
      <c r="G30" s="51" t="s">
        <v>556</v>
      </c>
      <c r="H30" s="51" t="s">
        <v>558</v>
      </c>
      <c r="I30" s="51" t="s">
        <v>205</v>
      </c>
      <c r="J30" s="51" t="s">
        <v>271</v>
      </c>
      <c r="K30" s="51" t="s">
        <v>559</v>
      </c>
      <c r="L30" s="51">
        <v>8450656925</v>
      </c>
      <c r="M30" s="51" t="s">
        <v>47</v>
      </c>
      <c r="N30" s="51" t="s">
        <v>28</v>
      </c>
      <c r="O30" s="51" t="s">
        <v>18</v>
      </c>
      <c r="P30" s="51">
        <v>10549</v>
      </c>
      <c r="Q30" s="51" t="s">
        <v>489</v>
      </c>
      <c r="R30" s="51">
        <v>13</v>
      </c>
    </row>
    <row r="31" spans="1:18" x14ac:dyDescent="0.2">
      <c r="A31" s="50">
        <v>21</v>
      </c>
      <c r="B31" s="50" t="s">
        <v>649</v>
      </c>
      <c r="C31" s="51">
        <v>70</v>
      </c>
      <c r="D31" s="51">
        <v>31.75</v>
      </c>
      <c r="E31" s="51" t="s">
        <v>443</v>
      </c>
      <c r="F31" s="51" t="s">
        <v>652</v>
      </c>
      <c r="G31" s="51" t="s">
        <v>653</v>
      </c>
      <c r="H31" s="51" t="s">
        <v>650</v>
      </c>
      <c r="I31" s="51" t="s">
        <v>200</v>
      </c>
      <c r="J31" s="51" t="s">
        <v>271</v>
      </c>
      <c r="K31" s="51" t="s">
        <v>651</v>
      </c>
      <c r="L31" s="51">
        <v>9144823021</v>
      </c>
      <c r="M31" s="51" t="s">
        <v>73</v>
      </c>
      <c r="N31" s="51" t="s">
        <v>28</v>
      </c>
      <c r="O31" s="51" t="s">
        <v>18</v>
      </c>
      <c r="P31" s="51">
        <v>10549</v>
      </c>
      <c r="Q31" s="51" t="s">
        <v>515</v>
      </c>
      <c r="R31" s="51">
        <v>13</v>
      </c>
    </row>
    <row r="32" spans="1:18" s="63" customFormat="1" x14ac:dyDescent="0.2">
      <c r="A32" s="50">
        <v>22</v>
      </c>
      <c r="B32" s="50" t="s">
        <v>679</v>
      </c>
      <c r="C32" s="50">
        <v>50</v>
      </c>
      <c r="D32" s="50">
        <v>22.68</v>
      </c>
      <c r="E32" s="50" t="s">
        <v>443</v>
      </c>
      <c r="F32" s="50" t="s">
        <v>707</v>
      </c>
      <c r="G32" s="50" t="s">
        <v>708</v>
      </c>
      <c r="H32" s="50" t="s">
        <v>680</v>
      </c>
      <c r="I32" s="50" t="s">
        <v>217</v>
      </c>
      <c r="J32" s="50" t="s">
        <v>272</v>
      </c>
      <c r="K32" s="50" t="s">
        <v>709</v>
      </c>
      <c r="L32" s="50">
        <v>2404811771</v>
      </c>
      <c r="M32" s="50" t="s">
        <v>74</v>
      </c>
      <c r="N32" s="50" t="s">
        <v>28</v>
      </c>
      <c r="O32" s="50" t="s">
        <v>18</v>
      </c>
      <c r="P32" s="50">
        <v>10549</v>
      </c>
      <c r="Q32" s="50" t="s">
        <v>446</v>
      </c>
      <c r="R32" s="50">
        <v>11</v>
      </c>
    </row>
    <row r="33" spans="1:18" x14ac:dyDescent="0.2">
      <c r="A33" s="50">
        <v>23</v>
      </c>
      <c r="B33" s="50" t="s">
        <v>560</v>
      </c>
      <c r="C33" s="51">
        <v>45</v>
      </c>
      <c r="D33" s="51">
        <v>20.41</v>
      </c>
      <c r="E33" s="51" t="s">
        <v>443</v>
      </c>
      <c r="F33" s="51" t="s">
        <v>563</v>
      </c>
      <c r="G33" s="51" t="s">
        <v>564</v>
      </c>
      <c r="H33" s="51" t="s">
        <v>561</v>
      </c>
      <c r="I33" s="51" t="s">
        <v>150</v>
      </c>
      <c r="J33" s="51" t="s">
        <v>270</v>
      </c>
      <c r="K33" s="51" t="s">
        <v>562</v>
      </c>
      <c r="L33" s="51">
        <v>2023746024</v>
      </c>
      <c r="M33" s="51" t="s">
        <v>48</v>
      </c>
      <c r="N33" s="51" t="s">
        <v>28</v>
      </c>
      <c r="O33" s="51" t="s">
        <v>18</v>
      </c>
      <c r="P33" s="51">
        <v>10549</v>
      </c>
      <c r="Q33" s="51" t="s">
        <v>471</v>
      </c>
      <c r="R33" s="51">
        <v>10</v>
      </c>
    </row>
    <row r="34" spans="1:18" x14ac:dyDescent="0.2">
      <c r="A34" s="50">
        <v>23</v>
      </c>
      <c r="B34" s="50" t="s">
        <v>565</v>
      </c>
      <c r="C34" s="51">
        <v>45</v>
      </c>
      <c r="D34" s="51">
        <v>20.41</v>
      </c>
      <c r="E34" s="51" t="s">
        <v>443</v>
      </c>
      <c r="F34" s="51" t="s">
        <v>568</v>
      </c>
      <c r="G34" s="51" t="s">
        <v>569</v>
      </c>
      <c r="H34" s="51" t="s">
        <v>566</v>
      </c>
      <c r="I34" s="51" t="s">
        <v>138</v>
      </c>
      <c r="J34" s="51" t="s">
        <v>270</v>
      </c>
      <c r="K34" s="51" t="s">
        <v>567</v>
      </c>
      <c r="L34" s="51">
        <v>2407196781</v>
      </c>
      <c r="M34" s="51" t="s">
        <v>49</v>
      </c>
      <c r="N34" s="51" t="s">
        <v>50</v>
      </c>
      <c r="O34" s="51" t="s">
        <v>18</v>
      </c>
      <c r="P34" s="51">
        <v>10507</v>
      </c>
      <c r="Q34" s="51" t="s">
        <v>484</v>
      </c>
      <c r="R34" s="51">
        <v>10</v>
      </c>
    </row>
    <row r="35" spans="1:18" x14ac:dyDescent="0.2">
      <c r="A35" s="50">
        <v>24</v>
      </c>
      <c r="B35" s="50" t="s">
        <v>570</v>
      </c>
      <c r="C35" s="51">
        <v>45</v>
      </c>
      <c r="D35" s="51">
        <v>20.41</v>
      </c>
      <c r="E35" s="51" t="s">
        <v>443</v>
      </c>
      <c r="F35" s="51" t="s">
        <v>573</v>
      </c>
      <c r="G35" s="51" t="s">
        <v>574</v>
      </c>
      <c r="H35" s="51" t="s">
        <v>571</v>
      </c>
      <c r="I35" s="51" t="s">
        <v>260</v>
      </c>
      <c r="J35" s="51" t="s">
        <v>275</v>
      </c>
      <c r="K35" s="51" t="s">
        <v>572</v>
      </c>
      <c r="L35" s="51">
        <v>2407916043</v>
      </c>
      <c r="M35" s="51" t="s">
        <v>51</v>
      </c>
      <c r="N35" s="51" t="s">
        <v>28</v>
      </c>
      <c r="O35" s="51" t="s">
        <v>18</v>
      </c>
      <c r="P35" s="51">
        <v>10549</v>
      </c>
      <c r="Q35" s="51" t="s">
        <v>498</v>
      </c>
      <c r="R35" s="51">
        <v>10</v>
      </c>
    </row>
    <row r="36" spans="1:18" x14ac:dyDescent="0.2">
      <c r="A36" s="50">
        <v>24</v>
      </c>
      <c r="B36" s="50" t="s">
        <v>575</v>
      </c>
      <c r="C36" s="51">
        <v>45</v>
      </c>
      <c r="D36" s="51">
        <v>20.41</v>
      </c>
      <c r="E36" s="51" t="s">
        <v>443</v>
      </c>
      <c r="F36" s="51" t="s">
        <v>578</v>
      </c>
      <c r="G36" s="51" t="s">
        <v>579</v>
      </c>
      <c r="H36" s="51" t="s">
        <v>576</v>
      </c>
      <c r="I36" s="51" t="s">
        <v>208</v>
      </c>
      <c r="J36" s="51" t="s">
        <v>271</v>
      </c>
      <c r="K36" s="51" t="s">
        <v>577</v>
      </c>
      <c r="L36" s="51">
        <v>3016722154</v>
      </c>
      <c r="M36" s="51" t="s">
        <v>52</v>
      </c>
      <c r="N36" s="51" t="s">
        <v>28</v>
      </c>
      <c r="O36" s="51" t="s">
        <v>18</v>
      </c>
      <c r="P36" s="51">
        <v>10509</v>
      </c>
      <c r="Q36" s="51" t="s">
        <v>452</v>
      </c>
      <c r="R36" s="51">
        <v>10</v>
      </c>
    </row>
    <row r="37" spans="1:18" x14ac:dyDescent="0.2">
      <c r="A37" s="50">
        <v>25</v>
      </c>
      <c r="B37" s="50" t="s">
        <v>580</v>
      </c>
      <c r="C37" s="51">
        <v>45</v>
      </c>
      <c r="D37" s="51">
        <v>20.41</v>
      </c>
      <c r="E37" s="51" t="s">
        <v>443</v>
      </c>
      <c r="F37" s="51" t="s">
        <v>555</v>
      </c>
      <c r="G37" s="51" t="s">
        <v>556</v>
      </c>
      <c r="H37" s="51" t="s">
        <v>581</v>
      </c>
      <c r="I37" s="51" t="s">
        <v>183</v>
      </c>
      <c r="J37" s="51" t="s">
        <v>113</v>
      </c>
      <c r="K37" s="51" t="s">
        <v>582</v>
      </c>
      <c r="L37" s="51">
        <v>3015662004</v>
      </c>
      <c r="M37" s="51" t="s">
        <v>53</v>
      </c>
      <c r="N37" s="51" t="s">
        <v>26</v>
      </c>
      <c r="O37" s="51" t="s">
        <v>18</v>
      </c>
      <c r="P37" s="51">
        <v>10509</v>
      </c>
      <c r="Q37" s="51" t="s">
        <v>489</v>
      </c>
      <c r="R37" s="51">
        <v>10</v>
      </c>
    </row>
    <row r="38" spans="1:18" x14ac:dyDescent="0.2">
      <c r="A38" s="50">
        <v>26</v>
      </c>
      <c r="B38" s="50" t="s">
        <v>583</v>
      </c>
      <c r="C38" s="51">
        <v>45</v>
      </c>
      <c r="D38" s="51">
        <v>20.41</v>
      </c>
      <c r="E38" s="51" t="s">
        <v>443</v>
      </c>
      <c r="F38" s="51" t="s">
        <v>586</v>
      </c>
      <c r="G38" s="51" t="s">
        <v>587</v>
      </c>
      <c r="H38" s="51" t="s">
        <v>584</v>
      </c>
      <c r="I38" s="51" t="s">
        <v>122</v>
      </c>
      <c r="J38" s="51" t="s">
        <v>269</v>
      </c>
      <c r="K38" s="51" t="s">
        <v>585</v>
      </c>
      <c r="L38" s="51">
        <v>3014816710</v>
      </c>
      <c r="M38" s="51" t="s">
        <v>54</v>
      </c>
      <c r="N38" s="51" t="s">
        <v>28</v>
      </c>
      <c r="O38" s="51" t="s">
        <v>18</v>
      </c>
      <c r="P38" s="51">
        <v>10549</v>
      </c>
      <c r="Q38" s="51" t="s">
        <v>489</v>
      </c>
      <c r="R38" s="51">
        <v>10</v>
      </c>
    </row>
    <row r="39" spans="1:18" x14ac:dyDescent="0.2">
      <c r="A39" s="50">
        <v>26</v>
      </c>
      <c r="B39" s="50" t="s">
        <v>588</v>
      </c>
      <c r="C39" s="51">
        <v>45</v>
      </c>
      <c r="D39" s="51">
        <v>20.41</v>
      </c>
      <c r="E39" s="51" t="s">
        <v>443</v>
      </c>
      <c r="F39" s="51" t="s">
        <v>591</v>
      </c>
      <c r="G39" s="51" t="s">
        <v>592</v>
      </c>
      <c r="H39" s="51" t="s">
        <v>589</v>
      </c>
      <c r="I39" s="51" t="s">
        <v>184</v>
      </c>
      <c r="J39" s="51" t="s">
        <v>113</v>
      </c>
      <c r="K39" s="51" t="s">
        <v>590</v>
      </c>
      <c r="L39" s="51">
        <v>2403680396</v>
      </c>
      <c r="M39" s="51" t="s">
        <v>55</v>
      </c>
      <c r="N39" s="51" t="s">
        <v>56</v>
      </c>
      <c r="O39" s="51" t="s">
        <v>18</v>
      </c>
      <c r="P39" s="51">
        <v>10536</v>
      </c>
      <c r="Q39" s="51" t="s">
        <v>494</v>
      </c>
      <c r="R39" s="51">
        <v>10</v>
      </c>
    </row>
    <row r="40" spans="1:18" x14ac:dyDescent="0.2">
      <c r="A40" s="50">
        <v>27</v>
      </c>
      <c r="B40" s="50" t="s">
        <v>596</v>
      </c>
      <c r="C40" s="51">
        <v>35</v>
      </c>
      <c r="D40" s="51">
        <v>15.88</v>
      </c>
      <c r="E40" s="51" t="s">
        <v>443</v>
      </c>
      <c r="F40" s="51" t="s">
        <v>599</v>
      </c>
      <c r="G40" s="51" t="s">
        <v>600</v>
      </c>
      <c r="H40" s="51" t="s">
        <v>597</v>
      </c>
      <c r="I40" s="51" t="s">
        <v>140</v>
      </c>
      <c r="J40" s="51" t="s">
        <v>270</v>
      </c>
      <c r="K40" s="51" t="s">
        <v>598</v>
      </c>
      <c r="L40" s="51">
        <v>2404269914</v>
      </c>
      <c r="M40" s="51" t="s">
        <v>58</v>
      </c>
      <c r="N40" s="51" t="s">
        <v>26</v>
      </c>
      <c r="O40" s="51" t="s">
        <v>18</v>
      </c>
      <c r="P40" s="51">
        <v>10509</v>
      </c>
      <c r="Q40" s="51" t="s">
        <v>471</v>
      </c>
      <c r="R40" s="51">
        <v>9</v>
      </c>
    </row>
    <row r="41" spans="1:18" x14ac:dyDescent="0.2">
      <c r="A41" s="50">
        <v>27</v>
      </c>
      <c r="B41" s="50" t="s">
        <v>666</v>
      </c>
      <c r="C41" s="51">
        <v>30</v>
      </c>
      <c r="D41" s="51">
        <v>13.61</v>
      </c>
      <c r="E41" s="51" t="s">
        <v>443</v>
      </c>
      <c r="F41" s="51" t="s">
        <v>669</v>
      </c>
      <c r="G41" s="51" t="s">
        <v>670</v>
      </c>
      <c r="H41" s="51" t="s">
        <v>667</v>
      </c>
      <c r="I41" s="51" t="s">
        <v>201</v>
      </c>
      <c r="J41" s="51" t="s">
        <v>271</v>
      </c>
      <c r="K41" s="51" t="s">
        <v>668</v>
      </c>
      <c r="L41" s="51">
        <v>2408373881</v>
      </c>
      <c r="M41" s="51" t="s">
        <v>82</v>
      </c>
      <c r="N41" s="51" t="s">
        <v>28</v>
      </c>
      <c r="O41" s="51" t="s">
        <v>18</v>
      </c>
      <c r="P41" s="51">
        <v>10549</v>
      </c>
      <c r="Q41" s="51" t="s">
        <v>505</v>
      </c>
      <c r="R41" s="51">
        <v>9</v>
      </c>
    </row>
    <row r="42" spans="1:18" x14ac:dyDescent="0.2">
      <c r="A42" s="50">
        <v>28</v>
      </c>
      <c r="B42" s="50" t="s">
        <v>601</v>
      </c>
      <c r="C42" s="51">
        <v>64</v>
      </c>
      <c r="D42" s="51">
        <v>29.03</v>
      </c>
      <c r="E42" s="51" t="s">
        <v>443</v>
      </c>
      <c r="F42" s="51" t="s">
        <v>604</v>
      </c>
      <c r="G42" s="51" t="s">
        <v>605</v>
      </c>
      <c r="H42" s="51" t="s">
        <v>602</v>
      </c>
      <c r="I42" s="51" t="s">
        <v>148</v>
      </c>
      <c r="J42" s="51" t="s">
        <v>270</v>
      </c>
      <c r="K42" s="51" t="s">
        <v>603</v>
      </c>
      <c r="L42" s="51">
        <v>2742659265</v>
      </c>
      <c r="M42" s="51" t="s">
        <v>59</v>
      </c>
      <c r="N42" s="51" t="s">
        <v>56</v>
      </c>
      <c r="O42" s="51" t="s">
        <v>18</v>
      </c>
      <c r="P42" s="51">
        <v>10536</v>
      </c>
      <c r="Q42" s="51" t="s">
        <v>480</v>
      </c>
      <c r="R42" s="51">
        <v>12</v>
      </c>
    </row>
    <row r="43" spans="1:18" x14ac:dyDescent="0.2">
      <c r="A43" s="50">
        <v>29</v>
      </c>
      <c r="B43" s="50" t="s">
        <v>606</v>
      </c>
      <c r="C43" s="51">
        <v>64</v>
      </c>
      <c r="D43" s="51">
        <v>29.03</v>
      </c>
      <c r="E43" s="51" t="s">
        <v>443</v>
      </c>
      <c r="F43" s="51" t="s">
        <v>604</v>
      </c>
      <c r="G43" s="51" t="s">
        <v>605</v>
      </c>
      <c r="H43" s="51" t="s">
        <v>607</v>
      </c>
      <c r="I43" s="51" t="s">
        <v>156</v>
      </c>
      <c r="J43" s="51" t="s">
        <v>270</v>
      </c>
      <c r="K43" s="51" t="s">
        <v>608</v>
      </c>
      <c r="L43" s="51">
        <v>8412752156</v>
      </c>
      <c r="M43" s="51" t="s">
        <v>60</v>
      </c>
      <c r="N43" s="51" t="s">
        <v>26</v>
      </c>
      <c r="O43" s="51" t="s">
        <v>18</v>
      </c>
      <c r="P43" s="51">
        <v>10509</v>
      </c>
      <c r="Q43" s="51" t="s">
        <v>480</v>
      </c>
      <c r="R43" s="51">
        <v>12</v>
      </c>
    </row>
    <row r="44" spans="1:18" x14ac:dyDescent="0.2">
      <c r="A44" s="50">
        <v>30</v>
      </c>
      <c r="B44" s="50" t="s">
        <v>609</v>
      </c>
      <c r="C44" s="51">
        <v>52</v>
      </c>
      <c r="D44" s="51">
        <v>23.59</v>
      </c>
      <c r="E44" s="51" t="s">
        <v>443</v>
      </c>
      <c r="F44" s="51" t="s">
        <v>604</v>
      </c>
      <c r="G44" s="51" t="s">
        <v>605</v>
      </c>
      <c r="H44" s="51" t="s">
        <v>610</v>
      </c>
      <c r="I44" s="51" t="s">
        <v>137</v>
      </c>
      <c r="J44" s="51" t="s">
        <v>269</v>
      </c>
      <c r="K44" s="51" t="s">
        <v>611</v>
      </c>
      <c r="L44" s="51">
        <v>3602077601</v>
      </c>
      <c r="M44" s="51" t="s">
        <v>61</v>
      </c>
      <c r="N44" s="51" t="s">
        <v>28</v>
      </c>
      <c r="O44" s="51" t="s">
        <v>18</v>
      </c>
      <c r="P44" s="51">
        <v>10549</v>
      </c>
      <c r="Q44" s="51" t="s">
        <v>480</v>
      </c>
      <c r="R44" s="51">
        <v>11</v>
      </c>
    </row>
    <row r="45" spans="1:18" x14ac:dyDescent="0.2">
      <c r="A45" s="50">
        <v>31</v>
      </c>
      <c r="B45" s="50" t="s">
        <v>612</v>
      </c>
      <c r="C45" s="51">
        <v>40</v>
      </c>
      <c r="D45" s="51">
        <v>18.14</v>
      </c>
      <c r="E45" s="51" t="s">
        <v>443</v>
      </c>
      <c r="F45" s="51" t="s">
        <v>604</v>
      </c>
      <c r="G45" s="51" t="s">
        <v>605</v>
      </c>
      <c r="H45" s="51" t="s">
        <v>613</v>
      </c>
      <c r="I45" s="51" t="s">
        <v>115</v>
      </c>
      <c r="J45" s="51" t="s">
        <v>269</v>
      </c>
      <c r="K45" s="51" t="s">
        <v>614</v>
      </c>
      <c r="L45" s="51">
        <v>6228456601</v>
      </c>
      <c r="M45" s="51" t="s">
        <v>62</v>
      </c>
      <c r="N45" s="51" t="s">
        <v>28</v>
      </c>
      <c r="O45" s="51" t="s">
        <v>18</v>
      </c>
      <c r="P45" s="51">
        <v>10549</v>
      </c>
      <c r="Q45" s="51" t="s">
        <v>480</v>
      </c>
      <c r="R45" s="51">
        <v>10</v>
      </c>
    </row>
    <row r="46" spans="1:18" x14ac:dyDescent="0.2">
      <c r="A46" s="50">
        <v>32</v>
      </c>
      <c r="B46" s="50" t="s">
        <v>615</v>
      </c>
      <c r="C46" s="51">
        <v>12</v>
      </c>
      <c r="D46" s="51">
        <v>5.44</v>
      </c>
      <c r="E46" s="51" t="s">
        <v>443</v>
      </c>
      <c r="F46" s="51" t="s">
        <v>604</v>
      </c>
      <c r="G46" s="51" t="s">
        <v>605</v>
      </c>
      <c r="H46" s="51" t="s">
        <v>616</v>
      </c>
      <c r="I46" s="51" t="s">
        <v>291</v>
      </c>
      <c r="J46" s="51" t="s">
        <v>286</v>
      </c>
      <c r="K46" s="51" t="s">
        <v>617</v>
      </c>
      <c r="L46" s="51">
        <v>3476984510</v>
      </c>
      <c r="M46" s="51" t="s">
        <v>63</v>
      </c>
      <c r="N46" s="51" t="s">
        <v>64</v>
      </c>
      <c r="O46" s="51" t="s">
        <v>18</v>
      </c>
      <c r="P46" s="51">
        <v>10514</v>
      </c>
      <c r="Q46" s="51" t="s">
        <v>480</v>
      </c>
      <c r="R46" s="51">
        <v>7</v>
      </c>
    </row>
    <row r="47" spans="1:18" x14ac:dyDescent="0.2">
      <c r="A47" s="50">
        <v>33</v>
      </c>
      <c r="B47" s="50" t="s">
        <v>619</v>
      </c>
      <c r="C47" s="51">
        <v>26</v>
      </c>
      <c r="D47" s="51">
        <v>11.79</v>
      </c>
      <c r="E47" s="51" t="s">
        <v>443</v>
      </c>
      <c r="F47" s="51" t="s">
        <v>622</v>
      </c>
      <c r="G47" s="51" t="s">
        <v>623</v>
      </c>
      <c r="H47" s="51" t="s">
        <v>620</v>
      </c>
      <c r="I47" s="51" t="s">
        <v>215</v>
      </c>
      <c r="J47" s="51" t="s">
        <v>272</v>
      </c>
      <c r="K47" s="51" t="s">
        <v>621</v>
      </c>
      <c r="L47" s="51">
        <v>5084123350</v>
      </c>
      <c r="M47" s="51" t="s">
        <v>65</v>
      </c>
      <c r="N47" s="51" t="s">
        <v>28</v>
      </c>
      <c r="O47" s="51" t="s">
        <v>18</v>
      </c>
      <c r="P47" s="51">
        <v>10549</v>
      </c>
      <c r="Q47" s="51" t="s">
        <v>480</v>
      </c>
      <c r="R47" s="51">
        <v>8</v>
      </c>
    </row>
    <row r="48" spans="1:18" x14ac:dyDescent="0.2">
      <c r="A48" s="50">
        <v>34</v>
      </c>
      <c r="B48" s="50" t="s">
        <v>624</v>
      </c>
      <c r="C48" s="51">
        <v>24</v>
      </c>
      <c r="D48" s="51">
        <v>10.89</v>
      </c>
      <c r="E48" s="51" t="s">
        <v>443</v>
      </c>
      <c r="F48" s="51" t="s">
        <v>622</v>
      </c>
      <c r="G48" s="51" t="s">
        <v>623</v>
      </c>
      <c r="H48" s="51" t="s">
        <v>625</v>
      </c>
      <c r="I48" s="51" t="s">
        <v>255</v>
      </c>
      <c r="J48" s="51" t="s">
        <v>274</v>
      </c>
      <c r="K48" s="51" t="s">
        <v>626</v>
      </c>
      <c r="L48" s="51">
        <v>6225190804</v>
      </c>
      <c r="M48" s="51" t="s">
        <v>66</v>
      </c>
      <c r="N48" s="51" t="s">
        <v>22</v>
      </c>
      <c r="O48" s="51" t="s">
        <v>18</v>
      </c>
      <c r="P48" s="51">
        <v>10080</v>
      </c>
      <c r="Q48" s="51" t="s">
        <v>480</v>
      </c>
      <c r="R48" s="51">
        <v>8</v>
      </c>
    </row>
    <row r="49" spans="1:18" x14ac:dyDescent="0.2">
      <c r="A49" s="50">
        <v>35</v>
      </c>
      <c r="B49" s="50" t="s">
        <v>627</v>
      </c>
      <c r="C49" s="51">
        <v>40</v>
      </c>
      <c r="D49" s="51">
        <v>18.14</v>
      </c>
      <c r="E49" s="51" t="s">
        <v>443</v>
      </c>
      <c r="F49" s="51" t="s">
        <v>630</v>
      </c>
      <c r="G49" s="51" t="s">
        <v>631</v>
      </c>
      <c r="H49" s="51" t="s">
        <v>628</v>
      </c>
      <c r="I49" s="51" t="s">
        <v>125</v>
      </c>
      <c r="J49" s="51" t="s">
        <v>269</v>
      </c>
      <c r="K49" s="51" t="s">
        <v>629</v>
      </c>
      <c r="L49" s="51">
        <v>6522175664</v>
      </c>
      <c r="M49" s="51" t="s">
        <v>67</v>
      </c>
      <c r="N49" s="51" t="s">
        <v>26</v>
      </c>
      <c r="O49" s="51" t="s">
        <v>18</v>
      </c>
      <c r="P49" s="51">
        <v>10509</v>
      </c>
      <c r="Q49" s="51" t="s">
        <v>480</v>
      </c>
      <c r="R49" s="51">
        <v>10</v>
      </c>
    </row>
    <row r="50" spans="1:18" x14ac:dyDescent="0.2">
      <c r="A50" s="50">
        <v>36</v>
      </c>
      <c r="B50" s="50" t="s">
        <v>632</v>
      </c>
      <c r="C50" s="51">
        <v>63</v>
      </c>
      <c r="D50" s="51">
        <v>28.58</v>
      </c>
      <c r="E50" s="51" t="s">
        <v>443</v>
      </c>
      <c r="F50" s="51" t="s">
        <v>635</v>
      </c>
      <c r="G50" s="51" t="s">
        <v>636</v>
      </c>
      <c r="H50" s="51" t="s">
        <v>633</v>
      </c>
      <c r="I50" s="51" t="s">
        <v>130</v>
      </c>
      <c r="J50" s="51" t="s">
        <v>269</v>
      </c>
      <c r="K50" s="51" t="s">
        <v>634</v>
      </c>
      <c r="L50" s="51">
        <v>9890748410</v>
      </c>
      <c r="M50" s="51" t="s">
        <v>68</v>
      </c>
      <c r="N50" s="51" t="s">
        <v>28</v>
      </c>
      <c r="O50" s="51" t="s">
        <v>18</v>
      </c>
      <c r="P50" s="51">
        <v>10549</v>
      </c>
      <c r="Q50" s="51" t="s">
        <v>480</v>
      </c>
      <c r="R50" s="51">
        <v>12</v>
      </c>
    </row>
    <row r="51" spans="1:18" x14ac:dyDescent="0.2">
      <c r="A51" s="50">
        <v>37</v>
      </c>
      <c r="B51" s="50" t="s">
        <v>662</v>
      </c>
      <c r="C51" s="51">
        <v>50</v>
      </c>
      <c r="D51" s="51">
        <v>22.68</v>
      </c>
      <c r="E51" s="51" t="s">
        <v>443</v>
      </c>
      <c r="F51" s="51" t="s">
        <v>444</v>
      </c>
      <c r="G51" s="51" t="s">
        <v>665</v>
      </c>
      <c r="H51" s="51" t="s">
        <v>663</v>
      </c>
      <c r="I51" s="51" t="s">
        <v>311</v>
      </c>
      <c r="J51" s="51" t="s">
        <v>269</v>
      </c>
      <c r="K51" s="51" t="s">
        <v>664</v>
      </c>
      <c r="L51" s="51">
        <v>2403055770</v>
      </c>
      <c r="M51" s="51" t="s">
        <v>81</v>
      </c>
      <c r="N51" s="51" t="s">
        <v>50</v>
      </c>
      <c r="O51" s="51" t="s">
        <v>18</v>
      </c>
      <c r="P51" s="51">
        <v>10509</v>
      </c>
      <c r="Q51" s="51" t="s">
        <v>446</v>
      </c>
      <c r="R51" s="51">
        <v>11</v>
      </c>
    </row>
    <row r="52" spans="1:18" x14ac:dyDescent="0.2">
      <c r="A52" s="50">
        <v>38</v>
      </c>
      <c r="B52" s="50" t="s">
        <v>593</v>
      </c>
      <c r="C52" s="51">
        <v>45</v>
      </c>
      <c r="D52" s="51">
        <v>20.41</v>
      </c>
      <c r="E52" s="51" t="s">
        <v>443</v>
      </c>
      <c r="F52" s="51" t="s">
        <v>660</v>
      </c>
      <c r="G52" s="51" t="s">
        <v>661</v>
      </c>
      <c r="H52" s="51" t="s">
        <v>594</v>
      </c>
      <c r="I52" s="51" t="s">
        <v>277</v>
      </c>
      <c r="J52" s="51" t="s">
        <v>276</v>
      </c>
      <c r="K52" s="51" t="s">
        <v>595</v>
      </c>
      <c r="L52" s="51">
        <v>2456601132</v>
      </c>
      <c r="M52" s="51" t="s">
        <v>57</v>
      </c>
      <c r="N52" s="51" t="s">
        <v>28</v>
      </c>
      <c r="O52" s="51" t="s">
        <v>18</v>
      </c>
      <c r="P52" s="51">
        <v>10549</v>
      </c>
      <c r="Q52" s="51" t="s">
        <v>484</v>
      </c>
      <c r="R52" s="51">
        <v>10</v>
      </c>
    </row>
    <row r="53" spans="1:18" x14ac:dyDescent="0.2">
      <c r="A53" s="50">
        <v>39</v>
      </c>
      <c r="B53" s="50" t="s">
        <v>671</v>
      </c>
      <c r="C53" s="51">
        <v>20</v>
      </c>
      <c r="D53" s="51">
        <v>9.07</v>
      </c>
      <c r="E53" s="51" t="s">
        <v>443</v>
      </c>
      <c r="F53" s="51" t="s">
        <v>674</v>
      </c>
      <c r="G53" s="51" t="s">
        <v>675</v>
      </c>
      <c r="H53" s="51" t="s">
        <v>672</v>
      </c>
      <c r="I53" s="51" t="s">
        <v>306</v>
      </c>
      <c r="J53" s="51" t="s">
        <v>269</v>
      </c>
      <c r="K53" s="51" t="s">
        <v>673</v>
      </c>
      <c r="L53" s="51">
        <v>5648842014</v>
      </c>
      <c r="M53" s="51" t="s">
        <v>83</v>
      </c>
      <c r="N53" s="51" t="s">
        <v>28</v>
      </c>
      <c r="O53" s="51" t="s">
        <v>18</v>
      </c>
      <c r="P53" s="51">
        <v>10549</v>
      </c>
      <c r="Q53" s="51" t="s">
        <v>498</v>
      </c>
      <c r="R53" s="51">
        <v>8</v>
      </c>
    </row>
    <row r="54" spans="1:18" x14ac:dyDescent="0.2">
      <c r="A54" s="50">
        <v>39</v>
      </c>
      <c r="B54" s="50" t="s">
        <v>676</v>
      </c>
      <c r="C54" s="51">
        <v>20</v>
      </c>
      <c r="D54" s="51">
        <v>9.07</v>
      </c>
      <c r="E54" s="51" t="s">
        <v>443</v>
      </c>
      <c r="F54" s="51" t="s">
        <v>674</v>
      </c>
      <c r="G54" s="51" t="s">
        <v>675</v>
      </c>
      <c r="H54" s="51" t="s">
        <v>677</v>
      </c>
      <c r="I54" s="51" t="s">
        <v>161</v>
      </c>
      <c r="J54" s="51" t="s">
        <v>270</v>
      </c>
      <c r="K54" s="51" t="s">
        <v>678</v>
      </c>
      <c r="L54" s="51">
        <v>2652152201</v>
      </c>
      <c r="M54" s="51" t="s">
        <v>84</v>
      </c>
      <c r="N54" s="51" t="s">
        <v>28</v>
      </c>
      <c r="O54" s="51" t="s">
        <v>18</v>
      </c>
      <c r="P54" s="51">
        <v>10549</v>
      </c>
      <c r="Q54" s="51" t="s">
        <v>494</v>
      </c>
      <c r="R54" s="51">
        <v>8</v>
      </c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4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4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4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4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4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4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4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4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4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4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4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4"/>
      <c r="B68" s="54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4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4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4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4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4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</sheetData>
  <sortState ref="A2:R74">
    <sortCondition ref="A40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N32" zoomScale="89" zoomScaleNormal="89" workbookViewId="0">
      <selection sqref="A1:R55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3.85546875" style="53" bestFit="1" customWidth="1"/>
    <col min="5" max="5" width="12.28515625" style="53" bestFit="1" customWidth="1"/>
    <col min="6" max="6" width="36.28515625" style="53" bestFit="1" customWidth="1"/>
    <col min="7" max="7" width="55.28515625" style="53" bestFit="1" customWidth="1"/>
    <col min="8" max="8" width="45.85546875" style="53" bestFit="1" customWidth="1"/>
    <col min="9" max="9" width="22.28515625" style="53" bestFit="1" customWidth="1"/>
    <col min="10" max="10" width="8.7109375" style="53" bestFit="1" customWidth="1"/>
    <col min="11" max="11" width="24.85546875" style="53" bestFit="1" customWidth="1"/>
    <col min="12" max="12" width="39.7109375" style="53" bestFit="1" customWidth="1"/>
    <col min="13" max="13" width="37.42578125" style="53" bestFit="1" customWidth="1"/>
    <col min="14" max="14" width="24.7109375" style="53" bestFit="1" customWidth="1"/>
    <col min="15" max="15" width="13" style="53" bestFit="1" customWidth="1"/>
    <col min="16" max="16" width="8.7109375" style="53" bestFit="1" customWidth="1"/>
    <col min="17" max="17" width="22.28515625" style="53" bestFit="1" customWidth="1"/>
    <col min="18" max="18" width="87.28515625" style="53" bestFit="1" customWidth="1"/>
    <col min="19" max="19" width="8.5703125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2" t="s">
        <v>316</v>
      </c>
      <c r="B1" s="132"/>
      <c r="C1" s="132"/>
      <c r="D1" s="132"/>
      <c r="E1" s="132"/>
      <c r="F1" s="50" t="s">
        <v>447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79" t="s">
        <v>105</v>
      </c>
      <c r="B2" s="79" t="s">
        <v>318</v>
      </c>
      <c r="C2" s="79" t="s">
        <v>106</v>
      </c>
      <c r="D2" s="79" t="s">
        <v>319</v>
      </c>
      <c r="E2" s="79" t="s">
        <v>10</v>
      </c>
      <c r="F2" s="80" t="s">
        <v>321</v>
      </c>
      <c r="G2" s="81" t="s">
        <v>322</v>
      </c>
      <c r="H2" s="81" t="s">
        <v>323</v>
      </c>
      <c r="I2" s="80" t="s">
        <v>107</v>
      </c>
      <c r="J2" s="80" t="s">
        <v>108</v>
      </c>
      <c r="K2" s="82" t="s">
        <v>109</v>
      </c>
      <c r="L2" s="83" t="s">
        <v>324</v>
      </c>
      <c r="M2" s="83" t="s">
        <v>325</v>
      </c>
      <c r="N2" s="83" t="s">
        <v>326</v>
      </c>
      <c r="O2" s="83" t="s">
        <v>327</v>
      </c>
      <c r="P2" s="83" t="s">
        <v>108</v>
      </c>
      <c r="Q2" s="83" t="s">
        <v>109</v>
      </c>
      <c r="R2" s="84" t="s">
        <v>110</v>
      </c>
      <c r="S2" s="85" t="s">
        <v>111</v>
      </c>
      <c r="W2" s="55"/>
      <c r="X2" s="55"/>
      <c r="Y2" s="54"/>
      <c r="AB2" s="56"/>
    </row>
    <row r="3" spans="1:28" x14ac:dyDescent="0.2">
      <c r="A3" s="51" t="s">
        <v>448</v>
      </c>
      <c r="B3" s="86" t="s">
        <v>683</v>
      </c>
      <c r="C3" s="86" t="s">
        <v>684</v>
      </c>
      <c r="D3" s="86">
        <v>1</v>
      </c>
      <c r="E3" s="87">
        <v>20.41</v>
      </c>
      <c r="F3" s="86" t="s">
        <v>449</v>
      </c>
      <c r="G3" s="86" t="s">
        <v>193</v>
      </c>
      <c r="H3" s="86" t="s">
        <v>113</v>
      </c>
      <c r="I3" s="86" t="s">
        <v>686</v>
      </c>
      <c r="J3" s="86" t="s">
        <v>686</v>
      </c>
      <c r="K3" s="86"/>
      <c r="L3" s="86" t="s">
        <v>450</v>
      </c>
      <c r="M3" s="86" t="s">
        <v>86</v>
      </c>
      <c r="N3" s="86" t="s">
        <v>87</v>
      </c>
      <c r="O3" s="86" t="s">
        <v>18</v>
      </c>
      <c r="P3" s="86" t="s">
        <v>690</v>
      </c>
      <c r="Q3" s="86">
        <v>10514</v>
      </c>
      <c r="R3" s="86" t="s">
        <v>454</v>
      </c>
      <c r="S3" s="86">
        <v>1</v>
      </c>
      <c r="T3" s="58"/>
      <c r="U3" s="58"/>
      <c r="W3" s="54"/>
      <c r="X3" s="54"/>
      <c r="Y3" s="54"/>
    </row>
    <row r="4" spans="1:28" x14ac:dyDescent="0.2">
      <c r="A4" s="86" t="s">
        <v>455</v>
      </c>
      <c r="B4" s="86" t="s">
        <v>683</v>
      </c>
      <c r="C4" s="86" t="s">
        <v>684</v>
      </c>
      <c r="D4" s="86">
        <v>1</v>
      </c>
      <c r="E4" s="87">
        <v>20.41</v>
      </c>
      <c r="F4" s="86" t="s">
        <v>456</v>
      </c>
      <c r="G4" s="86" t="s">
        <v>296</v>
      </c>
      <c r="H4" s="86" t="s">
        <v>286</v>
      </c>
      <c r="I4" s="86" t="s">
        <v>686</v>
      </c>
      <c r="J4" s="86" t="s">
        <v>686</v>
      </c>
      <c r="K4" s="86"/>
      <c r="L4" s="86" t="s">
        <v>457</v>
      </c>
      <c r="M4" s="86" t="s">
        <v>88</v>
      </c>
      <c r="N4" s="86" t="s">
        <v>26</v>
      </c>
      <c r="O4" s="86" t="s">
        <v>18</v>
      </c>
      <c r="P4" s="86" t="s">
        <v>690</v>
      </c>
      <c r="Q4" s="86">
        <v>10509</v>
      </c>
      <c r="R4" s="86" t="s">
        <v>460</v>
      </c>
      <c r="S4" s="86">
        <v>1</v>
      </c>
      <c r="W4" s="54"/>
      <c r="X4" s="54"/>
      <c r="Y4" s="54"/>
    </row>
    <row r="5" spans="1:28" x14ac:dyDescent="0.2">
      <c r="A5" s="51" t="s">
        <v>461</v>
      </c>
      <c r="B5" s="86" t="s">
        <v>683</v>
      </c>
      <c r="C5" s="86" t="s">
        <v>684</v>
      </c>
      <c r="D5" s="86">
        <v>1</v>
      </c>
      <c r="E5" s="87">
        <v>20.41</v>
      </c>
      <c r="F5" s="86" t="s">
        <v>449</v>
      </c>
      <c r="G5" s="86" t="s">
        <v>243</v>
      </c>
      <c r="H5" s="86" t="s">
        <v>273</v>
      </c>
      <c r="I5" s="86" t="s">
        <v>686</v>
      </c>
      <c r="J5" s="86" t="s">
        <v>686</v>
      </c>
      <c r="K5" s="86"/>
      <c r="L5" s="86" t="s">
        <v>462</v>
      </c>
      <c r="M5" s="86" t="s">
        <v>89</v>
      </c>
      <c r="N5" s="86" t="s">
        <v>28</v>
      </c>
      <c r="O5" s="86" t="s">
        <v>18</v>
      </c>
      <c r="P5" s="86" t="s">
        <v>690</v>
      </c>
      <c r="Q5" s="86">
        <v>10549</v>
      </c>
      <c r="R5" s="86" t="s">
        <v>464</v>
      </c>
      <c r="S5" s="86">
        <v>2</v>
      </c>
    </row>
    <row r="6" spans="1:28" x14ac:dyDescent="0.2">
      <c r="A6" s="51" t="s">
        <v>465</v>
      </c>
      <c r="B6" s="51" t="s">
        <v>683</v>
      </c>
      <c r="C6" s="51" t="s">
        <v>684</v>
      </c>
      <c r="D6" s="52">
        <v>1</v>
      </c>
      <c r="E6" s="52">
        <v>20.41</v>
      </c>
      <c r="F6" s="51" t="s">
        <v>466</v>
      </c>
      <c r="G6" s="51" t="s">
        <v>180</v>
      </c>
      <c r="H6" s="51" t="s">
        <v>276</v>
      </c>
      <c r="I6" s="51" t="s">
        <v>686</v>
      </c>
      <c r="J6" s="51" t="s">
        <v>686</v>
      </c>
      <c r="K6" s="51"/>
      <c r="L6" s="51" t="s">
        <v>467</v>
      </c>
      <c r="M6" s="51" t="s">
        <v>90</v>
      </c>
      <c r="N6" s="51" t="s">
        <v>28</v>
      </c>
      <c r="O6" s="51" t="s">
        <v>18</v>
      </c>
      <c r="P6" s="51" t="s">
        <v>690</v>
      </c>
      <c r="Q6" s="52">
        <v>10549</v>
      </c>
      <c r="R6" s="88" t="s">
        <v>464</v>
      </c>
      <c r="S6" s="86">
        <v>2</v>
      </c>
    </row>
    <row r="7" spans="1:28" x14ac:dyDescent="0.2">
      <c r="A7" s="51" t="s">
        <v>469</v>
      </c>
      <c r="B7" s="51" t="s">
        <v>683</v>
      </c>
      <c r="C7" s="51" t="s">
        <v>684</v>
      </c>
      <c r="D7" s="52">
        <v>1</v>
      </c>
      <c r="E7" s="52">
        <v>20.41</v>
      </c>
      <c r="F7" s="51" t="s">
        <v>449</v>
      </c>
      <c r="G7" s="51" t="s">
        <v>281</v>
      </c>
      <c r="H7" s="51" t="s">
        <v>276</v>
      </c>
      <c r="I7" s="51" t="s">
        <v>686</v>
      </c>
      <c r="J7" s="51" t="s">
        <v>686</v>
      </c>
      <c r="K7" s="51"/>
      <c r="L7" s="51" t="s">
        <v>470</v>
      </c>
      <c r="M7" s="51" t="s">
        <v>91</v>
      </c>
      <c r="N7" s="51" t="s">
        <v>26</v>
      </c>
      <c r="O7" s="51" t="s">
        <v>18</v>
      </c>
      <c r="P7" s="51" t="s">
        <v>690</v>
      </c>
      <c r="Q7" s="52">
        <v>10507</v>
      </c>
      <c r="R7" s="88" t="s">
        <v>464</v>
      </c>
      <c r="S7" s="86">
        <v>3</v>
      </c>
    </row>
    <row r="8" spans="1:28" x14ac:dyDescent="0.2">
      <c r="A8" s="51" t="s">
        <v>472</v>
      </c>
      <c r="B8" s="51" t="s">
        <v>683</v>
      </c>
      <c r="C8" s="51" t="s">
        <v>684</v>
      </c>
      <c r="D8" s="52">
        <v>1</v>
      </c>
      <c r="E8" s="52">
        <v>20.41</v>
      </c>
      <c r="F8" s="51" t="s">
        <v>473</v>
      </c>
      <c r="G8" s="51" t="s">
        <v>259</v>
      </c>
      <c r="H8" s="51" t="s">
        <v>275</v>
      </c>
      <c r="I8" s="51" t="s">
        <v>686</v>
      </c>
      <c r="J8" s="51" t="s">
        <v>686</v>
      </c>
      <c r="K8" s="51"/>
      <c r="L8" s="51" t="s">
        <v>474</v>
      </c>
      <c r="M8" s="51" t="s">
        <v>92</v>
      </c>
      <c r="N8" s="51" t="s">
        <v>28</v>
      </c>
      <c r="O8" s="51" t="s">
        <v>18</v>
      </c>
      <c r="P8" s="51" t="s">
        <v>690</v>
      </c>
      <c r="Q8" s="52">
        <v>10509</v>
      </c>
      <c r="R8" s="88" t="s">
        <v>460</v>
      </c>
      <c r="S8" s="86">
        <v>3</v>
      </c>
    </row>
    <row r="9" spans="1:28" x14ac:dyDescent="0.2">
      <c r="A9" s="51" t="s">
        <v>476</v>
      </c>
      <c r="B9" s="51" t="s">
        <v>683</v>
      </c>
      <c r="C9" s="51" t="s">
        <v>684</v>
      </c>
      <c r="D9" s="52">
        <v>1</v>
      </c>
      <c r="E9" s="52">
        <v>31.75</v>
      </c>
      <c r="F9" s="51" t="s">
        <v>477</v>
      </c>
      <c r="G9" s="51" t="s">
        <v>284</v>
      </c>
      <c r="H9" s="51" t="s">
        <v>276</v>
      </c>
      <c r="I9" s="51" t="s">
        <v>686</v>
      </c>
      <c r="J9" s="51" t="s">
        <v>686</v>
      </c>
      <c r="K9" s="51"/>
      <c r="L9" s="51" t="s">
        <v>478</v>
      </c>
      <c r="M9" s="51" t="s">
        <v>21</v>
      </c>
      <c r="N9" s="51" t="s">
        <v>22</v>
      </c>
      <c r="O9" s="51" t="s">
        <v>18</v>
      </c>
      <c r="P9" s="51" t="s">
        <v>690</v>
      </c>
      <c r="Q9" s="52">
        <v>10080</v>
      </c>
      <c r="R9" s="88" t="s">
        <v>481</v>
      </c>
      <c r="S9" s="86">
        <v>4</v>
      </c>
    </row>
    <row r="10" spans="1:28" x14ac:dyDescent="0.2">
      <c r="A10" s="51" t="s">
        <v>445</v>
      </c>
      <c r="B10" s="51" t="s">
        <v>683</v>
      </c>
      <c r="C10" s="51" t="s">
        <v>684</v>
      </c>
      <c r="D10" s="52">
        <v>1</v>
      </c>
      <c r="E10" s="52">
        <v>20.41</v>
      </c>
      <c r="F10" s="51" t="s">
        <v>482</v>
      </c>
      <c r="G10" s="51" t="s">
        <v>204</v>
      </c>
      <c r="H10" s="51" t="s">
        <v>271</v>
      </c>
      <c r="I10" s="51" t="s">
        <v>686</v>
      </c>
      <c r="J10" s="51" t="s">
        <v>686</v>
      </c>
      <c r="K10" s="51"/>
      <c r="L10" s="51" t="s">
        <v>483</v>
      </c>
      <c r="M10" s="51" t="s">
        <v>25</v>
      </c>
      <c r="N10" s="51" t="s">
        <v>26</v>
      </c>
      <c r="O10" s="51" t="s">
        <v>18</v>
      </c>
      <c r="P10" s="51" t="s">
        <v>690</v>
      </c>
      <c r="Q10" s="52">
        <v>10549</v>
      </c>
      <c r="R10" s="88" t="s">
        <v>460</v>
      </c>
      <c r="S10" s="86">
        <v>5</v>
      </c>
    </row>
    <row r="11" spans="1:28" x14ac:dyDescent="0.2">
      <c r="A11" s="51" t="s">
        <v>485</v>
      </c>
      <c r="B11" s="51" t="s">
        <v>683</v>
      </c>
      <c r="C11" s="51" t="s">
        <v>684</v>
      </c>
      <c r="D11" s="52">
        <v>1</v>
      </c>
      <c r="E11" s="52">
        <v>20.41</v>
      </c>
      <c r="F11" s="51" t="s">
        <v>486</v>
      </c>
      <c r="G11" s="51" t="s">
        <v>268</v>
      </c>
      <c r="H11" s="51" t="s">
        <v>275</v>
      </c>
      <c r="I11" s="51" t="s">
        <v>686</v>
      </c>
      <c r="J11" s="51" t="s">
        <v>686</v>
      </c>
      <c r="K11" s="51"/>
      <c r="L11" s="51" t="s">
        <v>487</v>
      </c>
      <c r="M11" s="51" t="s">
        <v>27</v>
      </c>
      <c r="N11" s="51" t="s">
        <v>28</v>
      </c>
      <c r="O11" s="51" t="s">
        <v>18</v>
      </c>
      <c r="P11" s="51" t="s">
        <v>690</v>
      </c>
      <c r="Q11" s="52">
        <v>10549</v>
      </c>
      <c r="R11" s="88" t="s">
        <v>490</v>
      </c>
      <c r="S11" s="86">
        <v>5</v>
      </c>
    </row>
    <row r="12" spans="1:28" x14ac:dyDescent="0.2">
      <c r="A12" s="51" t="s">
        <v>491</v>
      </c>
      <c r="B12" s="51" t="s">
        <v>683</v>
      </c>
      <c r="C12" s="51" t="s">
        <v>684</v>
      </c>
      <c r="D12" s="52">
        <v>1</v>
      </c>
      <c r="E12" s="52">
        <v>20.41</v>
      </c>
      <c r="F12" s="51" t="s">
        <v>492</v>
      </c>
      <c r="G12" s="51" t="s">
        <v>127</v>
      </c>
      <c r="H12" s="51" t="s">
        <v>269</v>
      </c>
      <c r="I12" s="51" t="s">
        <v>686</v>
      </c>
      <c r="J12" s="51" t="s">
        <v>686</v>
      </c>
      <c r="K12" s="51"/>
      <c r="L12" s="51" t="s">
        <v>493</v>
      </c>
      <c r="M12" s="51" t="s">
        <v>29</v>
      </c>
      <c r="N12" s="51" t="s">
        <v>28</v>
      </c>
      <c r="O12" s="51" t="s">
        <v>18</v>
      </c>
      <c r="P12" s="51" t="s">
        <v>690</v>
      </c>
      <c r="Q12" s="52">
        <v>10549</v>
      </c>
      <c r="R12" s="88" t="s">
        <v>454</v>
      </c>
      <c r="S12" s="86">
        <v>6</v>
      </c>
    </row>
    <row r="13" spans="1:28" x14ac:dyDescent="0.2">
      <c r="A13" s="51" t="s">
        <v>495</v>
      </c>
      <c r="B13" s="51" t="s">
        <v>683</v>
      </c>
      <c r="C13" s="51" t="s">
        <v>684</v>
      </c>
      <c r="D13" s="52">
        <v>1</v>
      </c>
      <c r="E13" s="52">
        <v>20.41</v>
      </c>
      <c r="F13" s="51" t="s">
        <v>496</v>
      </c>
      <c r="G13" s="51" t="s">
        <v>257</v>
      </c>
      <c r="H13" s="51" t="s">
        <v>274</v>
      </c>
      <c r="I13" s="51" t="s">
        <v>686</v>
      </c>
      <c r="J13" s="51" t="s">
        <v>686</v>
      </c>
      <c r="K13" s="51"/>
      <c r="L13" s="51" t="s">
        <v>497</v>
      </c>
      <c r="M13" s="51" t="s">
        <v>30</v>
      </c>
      <c r="N13" s="51" t="s">
        <v>28</v>
      </c>
      <c r="O13" s="51" t="s">
        <v>18</v>
      </c>
      <c r="P13" s="51" t="s">
        <v>690</v>
      </c>
      <c r="Q13" s="52">
        <v>10549</v>
      </c>
      <c r="R13" s="88" t="s">
        <v>454</v>
      </c>
      <c r="S13" s="86">
        <v>6</v>
      </c>
    </row>
    <row r="14" spans="1:28" x14ac:dyDescent="0.2">
      <c r="A14" s="51" t="s">
        <v>499</v>
      </c>
      <c r="B14" s="51" t="s">
        <v>683</v>
      </c>
      <c r="C14" s="51" t="s">
        <v>684</v>
      </c>
      <c r="D14" s="52">
        <v>1</v>
      </c>
      <c r="E14" s="52">
        <v>29.48</v>
      </c>
      <c r="F14" s="51" t="s">
        <v>500</v>
      </c>
      <c r="G14" s="51" t="s">
        <v>169</v>
      </c>
      <c r="H14" s="51" t="s">
        <v>163</v>
      </c>
      <c r="I14" s="51" t="s">
        <v>686</v>
      </c>
      <c r="J14" s="51" t="s">
        <v>686</v>
      </c>
      <c r="K14" s="51"/>
      <c r="L14" s="51" t="s">
        <v>501</v>
      </c>
      <c r="M14" s="51" t="s">
        <v>31</v>
      </c>
      <c r="N14" s="51" t="s">
        <v>28</v>
      </c>
      <c r="O14" s="51" t="s">
        <v>18</v>
      </c>
      <c r="P14" s="51" t="s">
        <v>690</v>
      </c>
      <c r="Q14" s="52">
        <v>10549</v>
      </c>
      <c r="R14" s="88" t="s">
        <v>464</v>
      </c>
      <c r="S14" s="86">
        <v>7</v>
      </c>
    </row>
    <row r="15" spans="1:28" x14ac:dyDescent="0.2">
      <c r="A15" s="51" t="s">
        <v>502</v>
      </c>
      <c r="B15" s="51" t="s">
        <v>683</v>
      </c>
      <c r="C15" s="51" t="s">
        <v>684</v>
      </c>
      <c r="D15" s="52">
        <v>1</v>
      </c>
      <c r="E15" s="52">
        <v>20.41</v>
      </c>
      <c r="F15" s="51" t="s">
        <v>503</v>
      </c>
      <c r="G15" s="51" t="s">
        <v>157</v>
      </c>
      <c r="H15" s="51" t="s">
        <v>270</v>
      </c>
      <c r="I15" s="51" t="s">
        <v>686</v>
      </c>
      <c r="J15" s="51" t="s">
        <v>686</v>
      </c>
      <c r="K15" s="51"/>
      <c r="L15" s="51" t="s">
        <v>504</v>
      </c>
      <c r="M15" s="51" t="s">
        <v>32</v>
      </c>
      <c r="N15" s="51" t="s">
        <v>28</v>
      </c>
      <c r="O15" s="51" t="s">
        <v>18</v>
      </c>
      <c r="P15" s="51" t="s">
        <v>690</v>
      </c>
      <c r="Q15" s="52">
        <v>10549</v>
      </c>
      <c r="R15" s="88" t="s">
        <v>464</v>
      </c>
      <c r="S15" s="86">
        <v>8</v>
      </c>
    </row>
    <row r="16" spans="1:28" x14ac:dyDescent="0.2">
      <c r="A16" s="51" t="s">
        <v>506</v>
      </c>
      <c r="B16" s="51" t="s">
        <v>683</v>
      </c>
      <c r="C16" s="51" t="s">
        <v>684</v>
      </c>
      <c r="D16" s="52">
        <v>1</v>
      </c>
      <c r="E16" s="52">
        <v>13.61</v>
      </c>
      <c r="F16" s="51" t="s">
        <v>507</v>
      </c>
      <c r="G16" s="51" t="s">
        <v>119</v>
      </c>
      <c r="H16" s="51" t="s">
        <v>269</v>
      </c>
      <c r="I16" s="51" t="s">
        <v>686</v>
      </c>
      <c r="J16" s="51" t="s">
        <v>686</v>
      </c>
      <c r="K16" s="51"/>
      <c r="L16" s="51" t="s">
        <v>508</v>
      </c>
      <c r="M16" s="51" t="s">
        <v>33</v>
      </c>
      <c r="N16" s="51" t="s">
        <v>28</v>
      </c>
      <c r="O16" s="51" t="s">
        <v>18</v>
      </c>
      <c r="P16" s="51" t="s">
        <v>690</v>
      </c>
      <c r="Q16" s="52">
        <v>10549</v>
      </c>
      <c r="R16" s="88" t="s">
        <v>510</v>
      </c>
      <c r="S16" s="86">
        <v>8</v>
      </c>
    </row>
    <row r="17" spans="1:19" x14ac:dyDescent="0.2">
      <c r="A17" s="51" t="s">
        <v>524</v>
      </c>
      <c r="B17" s="51" t="s">
        <v>683</v>
      </c>
      <c r="C17" s="51" t="s">
        <v>684</v>
      </c>
      <c r="D17" s="52">
        <v>1</v>
      </c>
      <c r="E17" s="52">
        <v>22.68</v>
      </c>
      <c r="F17" s="51" t="s">
        <v>449</v>
      </c>
      <c r="G17" s="51" t="s">
        <v>216</v>
      </c>
      <c r="H17" s="51" t="s">
        <v>272</v>
      </c>
      <c r="I17" s="51" t="s">
        <v>686</v>
      </c>
      <c r="J17" s="51" t="s">
        <v>686</v>
      </c>
      <c r="K17" s="51"/>
      <c r="L17" s="51" t="s">
        <v>525</v>
      </c>
      <c r="M17" s="51" t="s">
        <v>38</v>
      </c>
      <c r="N17" s="51" t="s">
        <v>39</v>
      </c>
      <c r="O17" s="51" t="s">
        <v>18</v>
      </c>
      <c r="P17" s="51" t="s">
        <v>690</v>
      </c>
      <c r="Q17" s="52">
        <v>10549</v>
      </c>
      <c r="R17" s="88" t="s">
        <v>527</v>
      </c>
      <c r="S17" s="86">
        <v>9</v>
      </c>
    </row>
    <row r="18" spans="1:19" x14ac:dyDescent="0.2">
      <c r="A18" s="51" t="s">
        <v>511</v>
      </c>
      <c r="B18" s="51" t="s">
        <v>683</v>
      </c>
      <c r="C18" s="51" t="s">
        <v>684</v>
      </c>
      <c r="D18" s="52">
        <v>1</v>
      </c>
      <c r="E18" s="52">
        <v>9.07</v>
      </c>
      <c r="F18" s="51" t="s">
        <v>512</v>
      </c>
      <c r="G18" s="51" t="s">
        <v>224</v>
      </c>
      <c r="H18" s="51" t="s">
        <v>272</v>
      </c>
      <c r="I18" s="51" t="s">
        <v>686</v>
      </c>
      <c r="J18" s="51" t="s">
        <v>686</v>
      </c>
      <c r="K18" s="51"/>
      <c r="L18" s="51" t="s">
        <v>513</v>
      </c>
      <c r="M18" s="51" t="s">
        <v>34</v>
      </c>
      <c r="N18" s="51" t="s">
        <v>28</v>
      </c>
      <c r="O18" s="51" t="s">
        <v>18</v>
      </c>
      <c r="P18" s="51" t="s">
        <v>690</v>
      </c>
      <c r="Q18" s="52">
        <v>10509</v>
      </c>
      <c r="R18" s="88" t="s">
        <v>516</v>
      </c>
      <c r="S18" s="86">
        <v>10</v>
      </c>
    </row>
    <row r="19" spans="1:19" x14ac:dyDescent="0.2">
      <c r="A19" s="51" t="s">
        <v>521</v>
      </c>
      <c r="B19" s="51" t="s">
        <v>683</v>
      </c>
      <c r="C19" s="51" t="s">
        <v>684</v>
      </c>
      <c r="D19" s="52">
        <v>1</v>
      </c>
      <c r="E19" s="52">
        <v>18.14</v>
      </c>
      <c r="F19" s="51" t="s">
        <v>522</v>
      </c>
      <c r="G19" s="51" t="s">
        <v>168</v>
      </c>
      <c r="H19" s="51" t="s">
        <v>163</v>
      </c>
      <c r="I19" s="51" t="s">
        <v>686</v>
      </c>
      <c r="J19" s="51" t="s">
        <v>686</v>
      </c>
      <c r="K19" s="51"/>
      <c r="L19" s="51" t="s">
        <v>523</v>
      </c>
      <c r="M19" s="51" t="s">
        <v>36</v>
      </c>
      <c r="N19" s="51" t="s">
        <v>37</v>
      </c>
      <c r="O19" s="51" t="s">
        <v>18</v>
      </c>
      <c r="P19" s="51" t="s">
        <v>690</v>
      </c>
      <c r="Q19" s="52">
        <v>10576</v>
      </c>
      <c r="R19" s="88" t="s">
        <v>460</v>
      </c>
      <c r="S19" s="86">
        <v>10</v>
      </c>
    </row>
    <row r="20" spans="1:19" x14ac:dyDescent="0.2">
      <c r="A20" s="51" t="s">
        <v>517</v>
      </c>
      <c r="B20" s="51" t="s">
        <v>683</v>
      </c>
      <c r="C20" s="51" t="s">
        <v>684</v>
      </c>
      <c r="D20" s="52">
        <v>1</v>
      </c>
      <c r="E20" s="52">
        <v>22.68</v>
      </c>
      <c r="F20" s="51" t="s">
        <v>518</v>
      </c>
      <c r="G20" s="51" t="s">
        <v>235</v>
      </c>
      <c r="H20" s="51" t="s">
        <v>273</v>
      </c>
      <c r="I20" s="51" t="s">
        <v>686</v>
      </c>
      <c r="J20" s="51" t="s">
        <v>686</v>
      </c>
      <c r="K20" s="51"/>
      <c r="L20" s="51" t="s">
        <v>519</v>
      </c>
      <c r="M20" s="51" t="s">
        <v>35</v>
      </c>
      <c r="N20" s="51" t="s">
        <v>26</v>
      </c>
      <c r="O20" s="51" t="s">
        <v>18</v>
      </c>
      <c r="P20" s="51" t="s">
        <v>690</v>
      </c>
      <c r="Q20" s="52">
        <v>10509</v>
      </c>
      <c r="R20" s="88" t="s">
        <v>464</v>
      </c>
      <c r="S20" s="86">
        <v>11</v>
      </c>
    </row>
    <row r="21" spans="1:19" x14ac:dyDescent="0.2">
      <c r="A21" s="51" t="s">
        <v>528</v>
      </c>
      <c r="B21" s="51" t="s">
        <v>683</v>
      </c>
      <c r="C21" s="51" t="s">
        <v>684</v>
      </c>
      <c r="D21" s="52">
        <v>1</v>
      </c>
      <c r="E21" s="52">
        <v>20.41</v>
      </c>
      <c r="F21" s="51" t="s">
        <v>529</v>
      </c>
      <c r="G21" s="51" t="s">
        <v>198</v>
      </c>
      <c r="H21" s="51" t="s">
        <v>271</v>
      </c>
      <c r="I21" s="51" t="s">
        <v>686</v>
      </c>
      <c r="J21" s="51" t="s">
        <v>686</v>
      </c>
      <c r="K21" s="51"/>
      <c r="L21" s="51" t="s">
        <v>530</v>
      </c>
      <c r="M21" s="51" t="s">
        <v>40</v>
      </c>
      <c r="N21" s="51" t="s">
        <v>39</v>
      </c>
      <c r="O21" s="51" t="s">
        <v>18</v>
      </c>
      <c r="P21" s="51" t="s">
        <v>690</v>
      </c>
      <c r="Q21" s="52">
        <v>10549</v>
      </c>
      <c r="R21" s="88" t="s">
        <v>464</v>
      </c>
      <c r="S21" s="86">
        <v>12</v>
      </c>
    </row>
    <row r="22" spans="1:19" x14ac:dyDescent="0.2">
      <c r="A22" s="51" t="s">
        <v>531</v>
      </c>
      <c r="B22" s="51" t="s">
        <v>683</v>
      </c>
      <c r="C22" s="51" t="s">
        <v>684</v>
      </c>
      <c r="D22" s="52">
        <v>1</v>
      </c>
      <c r="E22" s="52">
        <v>20.41</v>
      </c>
      <c r="F22" s="51" t="s">
        <v>532</v>
      </c>
      <c r="G22" s="51" t="s">
        <v>197</v>
      </c>
      <c r="H22" s="51" t="s">
        <v>271</v>
      </c>
      <c r="I22" s="51" t="s">
        <v>686</v>
      </c>
      <c r="J22" s="51" t="s">
        <v>686</v>
      </c>
      <c r="K22" s="51"/>
      <c r="L22" s="51" t="s">
        <v>533</v>
      </c>
      <c r="M22" s="51" t="s">
        <v>41</v>
      </c>
      <c r="N22" s="51" t="s">
        <v>39</v>
      </c>
      <c r="O22" s="51" t="s">
        <v>18</v>
      </c>
      <c r="P22" s="51" t="s">
        <v>690</v>
      </c>
      <c r="Q22" s="52">
        <v>10549</v>
      </c>
      <c r="R22" s="88" t="s">
        <v>464</v>
      </c>
      <c r="S22" s="86">
        <v>12</v>
      </c>
    </row>
    <row r="23" spans="1:19" x14ac:dyDescent="0.2">
      <c r="A23" s="51" t="s">
        <v>534</v>
      </c>
      <c r="B23" s="51" t="s">
        <v>683</v>
      </c>
      <c r="C23" s="51" t="s">
        <v>684</v>
      </c>
      <c r="D23" s="52">
        <v>1</v>
      </c>
      <c r="E23" s="52">
        <v>20.41</v>
      </c>
      <c r="F23" s="51" t="s">
        <v>535</v>
      </c>
      <c r="G23" s="51" t="s">
        <v>153</v>
      </c>
      <c r="H23" s="51" t="s">
        <v>270</v>
      </c>
      <c r="I23" s="51" t="s">
        <v>686</v>
      </c>
      <c r="J23" s="51" t="s">
        <v>686</v>
      </c>
      <c r="K23" s="51"/>
      <c r="L23" s="51" t="s">
        <v>536</v>
      </c>
      <c r="M23" s="51" t="s">
        <v>42</v>
      </c>
      <c r="N23" s="51" t="s">
        <v>28</v>
      </c>
      <c r="O23" s="51" t="s">
        <v>18</v>
      </c>
      <c r="P23" s="51" t="s">
        <v>690</v>
      </c>
      <c r="Q23" s="52">
        <v>10549</v>
      </c>
      <c r="R23" s="88" t="s">
        <v>538</v>
      </c>
      <c r="S23" s="86">
        <v>13</v>
      </c>
    </row>
    <row r="24" spans="1:19" x14ac:dyDescent="0.2">
      <c r="A24" s="51" t="s">
        <v>539</v>
      </c>
      <c r="B24" s="51" t="s">
        <v>683</v>
      </c>
      <c r="C24" s="51" t="s">
        <v>684</v>
      </c>
      <c r="D24" s="52">
        <v>1</v>
      </c>
      <c r="E24" s="52">
        <v>15.88</v>
      </c>
      <c r="F24" s="51" t="s">
        <v>540</v>
      </c>
      <c r="G24" s="51" t="s">
        <v>299</v>
      </c>
      <c r="H24" s="51" t="s">
        <v>271</v>
      </c>
      <c r="I24" s="51" t="s">
        <v>686</v>
      </c>
      <c r="J24" s="51" t="s">
        <v>686</v>
      </c>
      <c r="K24" s="51"/>
      <c r="L24" s="51" t="s">
        <v>541</v>
      </c>
      <c r="M24" s="51" t="s">
        <v>43</v>
      </c>
      <c r="N24" s="51" t="s">
        <v>28</v>
      </c>
      <c r="O24" s="51" t="s">
        <v>18</v>
      </c>
      <c r="P24" s="51" t="s">
        <v>690</v>
      </c>
      <c r="Q24" s="52">
        <v>10549</v>
      </c>
      <c r="R24" s="88" t="s">
        <v>543</v>
      </c>
      <c r="S24" s="86">
        <v>13</v>
      </c>
    </row>
    <row r="25" spans="1:19" x14ac:dyDescent="0.2">
      <c r="A25" s="51" t="s">
        <v>544</v>
      </c>
      <c r="B25" s="51" t="s">
        <v>683</v>
      </c>
      <c r="C25" s="51" t="s">
        <v>684</v>
      </c>
      <c r="D25" s="52">
        <v>1</v>
      </c>
      <c r="E25" s="52">
        <v>24.95</v>
      </c>
      <c r="F25" s="51" t="s">
        <v>545</v>
      </c>
      <c r="G25" s="51" t="s">
        <v>226</v>
      </c>
      <c r="H25" s="51" t="s">
        <v>272</v>
      </c>
      <c r="I25" s="51" t="s">
        <v>686</v>
      </c>
      <c r="J25" s="51" t="s">
        <v>686</v>
      </c>
      <c r="K25" s="51"/>
      <c r="L25" s="51" t="s">
        <v>546</v>
      </c>
      <c r="M25" s="51" t="s">
        <v>44</v>
      </c>
      <c r="N25" s="51" t="s">
        <v>28</v>
      </c>
      <c r="O25" s="51" t="s">
        <v>18</v>
      </c>
      <c r="P25" s="51" t="s">
        <v>690</v>
      </c>
      <c r="Q25" s="52">
        <v>10509</v>
      </c>
      <c r="R25" s="88" t="s">
        <v>548</v>
      </c>
      <c r="S25" s="86">
        <v>14</v>
      </c>
    </row>
    <row r="26" spans="1:19" x14ac:dyDescent="0.2">
      <c r="A26" s="51" t="s">
        <v>654</v>
      </c>
      <c r="B26" s="51" t="s">
        <v>683</v>
      </c>
      <c r="C26" s="51" t="s">
        <v>684</v>
      </c>
      <c r="D26" s="52">
        <v>1</v>
      </c>
      <c r="E26" s="52">
        <v>20.41</v>
      </c>
      <c r="F26" s="51" t="s">
        <v>655</v>
      </c>
      <c r="G26" s="51" t="s">
        <v>114</v>
      </c>
      <c r="H26" s="51" t="s">
        <v>269</v>
      </c>
      <c r="I26" s="51" t="s">
        <v>686</v>
      </c>
      <c r="J26" s="51" t="s">
        <v>686</v>
      </c>
      <c r="K26" s="51"/>
      <c r="L26" s="51" t="s">
        <v>656</v>
      </c>
      <c r="M26" s="51" t="s">
        <v>75</v>
      </c>
      <c r="N26" s="51" t="s">
        <v>28</v>
      </c>
      <c r="O26" s="51" t="s">
        <v>18</v>
      </c>
      <c r="P26" s="51" t="s">
        <v>690</v>
      </c>
      <c r="Q26" s="52">
        <v>10549</v>
      </c>
      <c r="R26" s="88" t="s">
        <v>659</v>
      </c>
      <c r="S26" s="86">
        <v>15</v>
      </c>
    </row>
    <row r="27" spans="1:19" x14ac:dyDescent="0.2">
      <c r="A27" s="51" t="s">
        <v>549</v>
      </c>
      <c r="B27" s="51" t="s">
        <v>683</v>
      </c>
      <c r="C27" s="51" t="s">
        <v>684</v>
      </c>
      <c r="D27" s="52">
        <v>1</v>
      </c>
      <c r="E27" s="52">
        <v>15.88</v>
      </c>
      <c r="F27" s="51" t="s">
        <v>550</v>
      </c>
      <c r="G27" s="51" t="s">
        <v>141</v>
      </c>
      <c r="H27" s="51" t="s">
        <v>270</v>
      </c>
      <c r="I27" s="51" t="s">
        <v>686</v>
      </c>
      <c r="J27" s="51" t="s">
        <v>686</v>
      </c>
      <c r="K27" s="51"/>
      <c r="L27" s="51" t="s">
        <v>551</v>
      </c>
      <c r="M27" s="51" t="s">
        <v>45</v>
      </c>
      <c r="N27" s="51" t="s">
        <v>28</v>
      </c>
      <c r="O27" s="51" t="s">
        <v>18</v>
      </c>
      <c r="P27" s="51" t="s">
        <v>690</v>
      </c>
      <c r="Q27" s="52">
        <v>10509</v>
      </c>
      <c r="R27" s="88" t="s">
        <v>637</v>
      </c>
      <c r="S27" s="86">
        <v>16</v>
      </c>
    </row>
    <row r="28" spans="1:19" x14ac:dyDescent="0.2">
      <c r="A28" s="51" t="s">
        <v>638</v>
      </c>
      <c r="B28" s="51" t="s">
        <v>683</v>
      </c>
      <c r="C28" s="51" t="s">
        <v>684</v>
      </c>
      <c r="D28" s="52">
        <v>1</v>
      </c>
      <c r="E28" s="52">
        <v>31.75</v>
      </c>
      <c r="F28" s="51" t="s">
        <v>639</v>
      </c>
      <c r="G28" s="51" t="s">
        <v>203</v>
      </c>
      <c r="H28" s="51" t="s">
        <v>271</v>
      </c>
      <c r="I28" s="51" t="s">
        <v>686</v>
      </c>
      <c r="J28" s="51" t="s">
        <v>686</v>
      </c>
      <c r="K28" s="51"/>
      <c r="L28" s="51" t="s">
        <v>640</v>
      </c>
      <c r="M28" s="51" t="s">
        <v>71</v>
      </c>
      <c r="N28" s="51" t="s">
        <v>70</v>
      </c>
      <c r="O28" s="51" t="s">
        <v>18</v>
      </c>
      <c r="P28" s="51" t="s">
        <v>690</v>
      </c>
      <c r="Q28" s="52">
        <v>10001</v>
      </c>
      <c r="R28" s="88" t="s">
        <v>643</v>
      </c>
      <c r="S28" s="86">
        <v>17</v>
      </c>
    </row>
    <row r="29" spans="1:19" x14ac:dyDescent="0.2">
      <c r="A29" s="51" t="s">
        <v>552</v>
      </c>
      <c r="B29" s="51" t="s">
        <v>683</v>
      </c>
      <c r="C29" s="51" t="s">
        <v>684</v>
      </c>
      <c r="D29" s="52">
        <v>1</v>
      </c>
      <c r="E29" s="52">
        <v>29.48</v>
      </c>
      <c r="F29" s="51" t="s">
        <v>553</v>
      </c>
      <c r="G29" s="51" t="s">
        <v>225</v>
      </c>
      <c r="H29" s="51" t="s">
        <v>272</v>
      </c>
      <c r="I29" s="51" t="s">
        <v>686</v>
      </c>
      <c r="J29" s="51" t="s">
        <v>686</v>
      </c>
      <c r="K29" s="51"/>
      <c r="L29" s="51" t="s">
        <v>554</v>
      </c>
      <c r="M29" s="51" t="s">
        <v>46</v>
      </c>
      <c r="N29" s="51" t="s">
        <v>28</v>
      </c>
      <c r="O29" s="51" t="s">
        <v>18</v>
      </c>
      <c r="P29" s="51" t="s">
        <v>690</v>
      </c>
      <c r="Q29" s="52">
        <v>10549</v>
      </c>
      <c r="R29" s="88" t="s">
        <v>556</v>
      </c>
      <c r="S29" s="86">
        <v>18</v>
      </c>
    </row>
    <row r="30" spans="1:19" x14ac:dyDescent="0.2">
      <c r="A30" s="51" t="s">
        <v>644</v>
      </c>
      <c r="B30" s="51" t="s">
        <v>683</v>
      </c>
      <c r="C30" s="51" t="s">
        <v>684</v>
      </c>
      <c r="D30" s="52">
        <v>1</v>
      </c>
      <c r="E30" s="52">
        <v>15.88</v>
      </c>
      <c r="F30" s="51" t="s">
        <v>645</v>
      </c>
      <c r="G30" s="51" t="s">
        <v>126</v>
      </c>
      <c r="H30" s="51" t="s">
        <v>269</v>
      </c>
      <c r="I30" s="51" t="s">
        <v>686</v>
      </c>
      <c r="J30" s="51" t="s">
        <v>686</v>
      </c>
      <c r="K30" s="51"/>
      <c r="L30" s="51" t="s">
        <v>646</v>
      </c>
      <c r="M30" s="51" t="s">
        <v>72</v>
      </c>
      <c r="N30" s="51" t="s">
        <v>28</v>
      </c>
      <c r="O30" s="51" t="s">
        <v>18</v>
      </c>
      <c r="P30" s="51" t="s">
        <v>690</v>
      </c>
      <c r="Q30" s="52">
        <v>10549</v>
      </c>
      <c r="R30" s="88" t="s">
        <v>648</v>
      </c>
      <c r="S30" s="52">
        <v>19</v>
      </c>
    </row>
    <row r="31" spans="1:19" x14ac:dyDescent="0.2">
      <c r="A31" s="51" t="s">
        <v>557</v>
      </c>
      <c r="B31" s="51" t="s">
        <v>683</v>
      </c>
      <c r="C31" s="51" t="s">
        <v>684</v>
      </c>
      <c r="D31" s="52">
        <v>1</v>
      </c>
      <c r="E31" s="52">
        <v>34.020000000000003</v>
      </c>
      <c r="F31" s="51" t="s">
        <v>558</v>
      </c>
      <c r="G31" s="51" t="s">
        <v>205</v>
      </c>
      <c r="H31" s="51" t="s">
        <v>271</v>
      </c>
      <c r="I31" s="51" t="s">
        <v>686</v>
      </c>
      <c r="J31" s="51" t="s">
        <v>686</v>
      </c>
      <c r="K31" s="51"/>
      <c r="L31" s="51" t="s">
        <v>559</v>
      </c>
      <c r="M31" s="51" t="s">
        <v>47</v>
      </c>
      <c r="N31" s="51" t="s">
        <v>28</v>
      </c>
      <c r="O31" s="51" t="s">
        <v>18</v>
      </c>
      <c r="P31" s="51" t="s">
        <v>690</v>
      </c>
      <c r="Q31" s="52">
        <v>10549</v>
      </c>
      <c r="R31" s="88" t="s">
        <v>556</v>
      </c>
      <c r="S31" s="52">
        <v>20</v>
      </c>
    </row>
    <row r="32" spans="1:19" x14ac:dyDescent="0.2">
      <c r="A32" s="51" t="s">
        <v>649</v>
      </c>
      <c r="B32" s="51" t="s">
        <v>683</v>
      </c>
      <c r="C32" s="51" t="s">
        <v>684</v>
      </c>
      <c r="D32" s="52">
        <v>1</v>
      </c>
      <c r="E32" s="52">
        <v>31.75</v>
      </c>
      <c r="F32" s="51" t="s">
        <v>650</v>
      </c>
      <c r="G32" s="51" t="s">
        <v>200</v>
      </c>
      <c r="H32" s="51" t="s">
        <v>271</v>
      </c>
      <c r="I32" s="51" t="s">
        <v>686</v>
      </c>
      <c r="J32" s="51" t="s">
        <v>686</v>
      </c>
      <c r="K32" s="51"/>
      <c r="L32" s="51" t="s">
        <v>651</v>
      </c>
      <c r="M32" s="51" t="s">
        <v>73</v>
      </c>
      <c r="N32" s="51" t="s">
        <v>28</v>
      </c>
      <c r="O32" s="51" t="s">
        <v>18</v>
      </c>
      <c r="P32" s="51" t="s">
        <v>690</v>
      </c>
      <c r="Q32" s="52">
        <v>10549</v>
      </c>
      <c r="R32" s="88" t="s">
        <v>653</v>
      </c>
      <c r="S32" s="52">
        <v>21</v>
      </c>
    </row>
    <row r="33" spans="1:19" x14ac:dyDescent="0.2">
      <c r="A33" s="51" t="s">
        <v>679</v>
      </c>
      <c r="B33" s="51" t="s">
        <v>683</v>
      </c>
      <c r="C33" s="51" t="s">
        <v>684</v>
      </c>
      <c r="D33" s="52">
        <v>1</v>
      </c>
      <c r="E33" s="52">
        <v>22.68</v>
      </c>
      <c r="F33" s="51" t="s">
        <v>706</v>
      </c>
      <c r="G33" s="51" t="s">
        <v>217</v>
      </c>
      <c r="H33" s="51" t="s">
        <v>272</v>
      </c>
      <c r="I33" s="51" t="s">
        <v>686</v>
      </c>
      <c r="J33" s="51" t="s">
        <v>686</v>
      </c>
      <c r="K33" s="51"/>
      <c r="L33" s="51" t="s">
        <v>681</v>
      </c>
      <c r="M33" s="51" t="s">
        <v>74</v>
      </c>
      <c r="N33" s="51" t="s">
        <v>28</v>
      </c>
      <c r="O33" s="51" t="s">
        <v>18</v>
      </c>
      <c r="P33" s="51" t="s">
        <v>690</v>
      </c>
      <c r="Q33" s="52">
        <v>10549</v>
      </c>
      <c r="R33" s="51" t="s">
        <v>665</v>
      </c>
      <c r="S33" s="52">
        <v>22</v>
      </c>
    </row>
    <row r="34" spans="1:19" x14ac:dyDescent="0.2">
      <c r="A34" s="51" t="s">
        <v>560</v>
      </c>
      <c r="B34" s="51" t="s">
        <v>683</v>
      </c>
      <c r="C34" s="51" t="s">
        <v>684</v>
      </c>
      <c r="D34" s="52">
        <v>1</v>
      </c>
      <c r="E34" s="52">
        <v>20.41</v>
      </c>
      <c r="F34" s="51" t="s">
        <v>561</v>
      </c>
      <c r="G34" s="51" t="s">
        <v>150</v>
      </c>
      <c r="H34" s="51" t="s">
        <v>270</v>
      </c>
      <c r="I34" s="51" t="s">
        <v>686</v>
      </c>
      <c r="J34" s="51" t="s">
        <v>686</v>
      </c>
      <c r="K34" s="51"/>
      <c r="L34" s="51" t="s">
        <v>562</v>
      </c>
      <c r="M34" s="51" t="s">
        <v>48</v>
      </c>
      <c r="N34" s="51" t="s">
        <v>28</v>
      </c>
      <c r="O34" s="51" t="s">
        <v>18</v>
      </c>
      <c r="P34" s="51" t="s">
        <v>690</v>
      </c>
      <c r="Q34" s="52">
        <v>10549</v>
      </c>
      <c r="R34" s="88" t="s">
        <v>564</v>
      </c>
      <c r="S34" s="52">
        <v>23</v>
      </c>
    </row>
    <row r="35" spans="1:19" x14ac:dyDescent="0.2">
      <c r="A35" s="51" t="s">
        <v>565</v>
      </c>
      <c r="B35" s="51" t="s">
        <v>683</v>
      </c>
      <c r="C35" s="51" t="s">
        <v>684</v>
      </c>
      <c r="D35" s="52">
        <v>1</v>
      </c>
      <c r="E35" s="52">
        <v>20.41</v>
      </c>
      <c r="F35" s="51" t="s">
        <v>566</v>
      </c>
      <c r="G35" s="51" t="s">
        <v>138</v>
      </c>
      <c r="H35" s="51" t="s">
        <v>270</v>
      </c>
      <c r="I35" s="51" t="s">
        <v>686</v>
      </c>
      <c r="J35" s="51" t="s">
        <v>686</v>
      </c>
      <c r="K35" s="51"/>
      <c r="L35" s="51" t="s">
        <v>567</v>
      </c>
      <c r="M35" s="51" t="s">
        <v>49</v>
      </c>
      <c r="N35" s="51" t="s">
        <v>50</v>
      </c>
      <c r="O35" s="51" t="s">
        <v>18</v>
      </c>
      <c r="P35" s="51" t="s">
        <v>690</v>
      </c>
      <c r="Q35" s="52">
        <v>10507</v>
      </c>
      <c r="R35" s="88" t="s">
        <v>569</v>
      </c>
      <c r="S35" s="52">
        <v>23</v>
      </c>
    </row>
    <row r="36" spans="1:19" x14ac:dyDescent="0.2">
      <c r="A36" s="51" t="s">
        <v>570</v>
      </c>
      <c r="B36" s="51" t="s">
        <v>683</v>
      </c>
      <c r="C36" s="51" t="s">
        <v>684</v>
      </c>
      <c r="D36" s="52">
        <v>1</v>
      </c>
      <c r="E36" s="52">
        <v>20.41</v>
      </c>
      <c r="F36" s="51" t="s">
        <v>571</v>
      </c>
      <c r="G36" s="51" t="s">
        <v>260</v>
      </c>
      <c r="H36" s="51" t="s">
        <v>275</v>
      </c>
      <c r="I36" s="51" t="s">
        <v>686</v>
      </c>
      <c r="J36" s="51" t="s">
        <v>686</v>
      </c>
      <c r="K36" s="51"/>
      <c r="L36" s="51" t="s">
        <v>572</v>
      </c>
      <c r="M36" s="51" t="s">
        <v>51</v>
      </c>
      <c r="N36" s="51" t="s">
        <v>28</v>
      </c>
      <c r="O36" s="51" t="s">
        <v>18</v>
      </c>
      <c r="P36" s="51" t="s">
        <v>690</v>
      </c>
      <c r="Q36" s="52">
        <v>10549</v>
      </c>
      <c r="R36" s="88" t="s">
        <v>574</v>
      </c>
      <c r="S36" s="52">
        <v>24</v>
      </c>
    </row>
    <row r="37" spans="1:19" x14ac:dyDescent="0.2">
      <c r="A37" s="51" t="s">
        <v>575</v>
      </c>
      <c r="B37" s="51" t="s">
        <v>683</v>
      </c>
      <c r="C37" s="51" t="s">
        <v>684</v>
      </c>
      <c r="D37" s="52">
        <v>1</v>
      </c>
      <c r="E37" s="52">
        <v>20.41</v>
      </c>
      <c r="F37" s="51" t="s">
        <v>576</v>
      </c>
      <c r="G37" s="51" t="s">
        <v>208</v>
      </c>
      <c r="H37" s="51" t="s">
        <v>271</v>
      </c>
      <c r="I37" s="51" t="s">
        <v>686</v>
      </c>
      <c r="J37" s="51" t="s">
        <v>686</v>
      </c>
      <c r="K37" s="51"/>
      <c r="L37" s="51" t="s">
        <v>577</v>
      </c>
      <c r="M37" s="51" t="s">
        <v>52</v>
      </c>
      <c r="N37" s="51" t="s">
        <v>28</v>
      </c>
      <c r="O37" s="51" t="s">
        <v>18</v>
      </c>
      <c r="P37" s="51" t="s">
        <v>690</v>
      </c>
      <c r="Q37" s="52">
        <v>10509</v>
      </c>
      <c r="R37" s="88" t="s">
        <v>579</v>
      </c>
      <c r="S37" s="52">
        <v>24</v>
      </c>
    </row>
    <row r="38" spans="1:19" x14ac:dyDescent="0.2">
      <c r="A38" s="51" t="s">
        <v>580</v>
      </c>
      <c r="B38" s="51" t="s">
        <v>683</v>
      </c>
      <c r="C38" s="51" t="s">
        <v>684</v>
      </c>
      <c r="D38" s="52">
        <v>1</v>
      </c>
      <c r="E38" s="52">
        <v>20.41</v>
      </c>
      <c r="F38" s="51" t="s">
        <v>581</v>
      </c>
      <c r="G38" s="51" t="s">
        <v>183</v>
      </c>
      <c r="H38" s="51" t="s">
        <v>113</v>
      </c>
      <c r="I38" s="51" t="s">
        <v>686</v>
      </c>
      <c r="J38" s="51" t="s">
        <v>686</v>
      </c>
      <c r="K38" s="51"/>
      <c r="L38" s="51" t="s">
        <v>582</v>
      </c>
      <c r="M38" s="51" t="s">
        <v>53</v>
      </c>
      <c r="N38" s="51" t="s">
        <v>26</v>
      </c>
      <c r="O38" s="51" t="s">
        <v>18</v>
      </c>
      <c r="P38" s="51" t="s">
        <v>690</v>
      </c>
      <c r="Q38" s="52">
        <v>10509</v>
      </c>
      <c r="R38" s="88" t="s">
        <v>556</v>
      </c>
      <c r="S38" s="52">
        <v>25</v>
      </c>
    </row>
    <row r="39" spans="1:19" x14ac:dyDescent="0.2">
      <c r="A39" s="51" t="s">
        <v>583</v>
      </c>
      <c r="B39" s="51" t="s">
        <v>683</v>
      </c>
      <c r="C39" s="51" t="s">
        <v>684</v>
      </c>
      <c r="D39" s="52">
        <v>1</v>
      </c>
      <c r="E39" s="52">
        <v>20.41</v>
      </c>
      <c r="F39" s="51" t="s">
        <v>584</v>
      </c>
      <c r="G39" s="51" t="s">
        <v>122</v>
      </c>
      <c r="H39" s="51" t="s">
        <v>269</v>
      </c>
      <c r="I39" s="51" t="s">
        <v>686</v>
      </c>
      <c r="J39" s="51" t="s">
        <v>686</v>
      </c>
      <c r="K39" s="51"/>
      <c r="L39" s="51" t="s">
        <v>585</v>
      </c>
      <c r="M39" s="51" t="s">
        <v>54</v>
      </c>
      <c r="N39" s="51" t="s">
        <v>28</v>
      </c>
      <c r="O39" s="51" t="s">
        <v>18</v>
      </c>
      <c r="P39" s="51" t="s">
        <v>690</v>
      </c>
      <c r="Q39" s="52">
        <v>10549</v>
      </c>
      <c r="R39" s="51" t="s">
        <v>587</v>
      </c>
      <c r="S39" s="52">
        <v>26</v>
      </c>
    </row>
    <row r="40" spans="1:19" x14ac:dyDescent="0.2">
      <c r="A40" s="51" t="s">
        <v>588</v>
      </c>
      <c r="B40" s="51" t="s">
        <v>683</v>
      </c>
      <c r="C40" s="51" t="s">
        <v>684</v>
      </c>
      <c r="D40" s="52">
        <v>1</v>
      </c>
      <c r="E40" s="52">
        <v>20.41</v>
      </c>
      <c r="F40" s="51" t="s">
        <v>589</v>
      </c>
      <c r="G40" s="51" t="s">
        <v>184</v>
      </c>
      <c r="H40" s="51" t="s">
        <v>113</v>
      </c>
      <c r="I40" s="51" t="s">
        <v>686</v>
      </c>
      <c r="J40" s="51" t="s">
        <v>686</v>
      </c>
      <c r="K40" s="51"/>
      <c r="L40" s="51" t="s">
        <v>590</v>
      </c>
      <c r="M40" s="51" t="s">
        <v>55</v>
      </c>
      <c r="N40" s="51" t="s">
        <v>56</v>
      </c>
      <c r="O40" s="51" t="s">
        <v>18</v>
      </c>
      <c r="P40" s="51" t="s">
        <v>690</v>
      </c>
      <c r="Q40" s="52">
        <v>10536</v>
      </c>
      <c r="R40" s="51" t="s">
        <v>592</v>
      </c>
      <c r="S40" s="52">
        <v>26</v>
      </c>
    </row>
    <row r="41" spans="1:19" x14ac:dyDescent="0.2">
      <c r="A41" s="51" t="s">
        <v>596</v>
      </c>
      <c r="B41" s="51" t="s">
        <v>683</v>
      </c>
      <c r="C41" s="51" t="s">
        <v>684</v>
      </c>
      <c r="D41" s="52">
        <v>1</v>
      </c>
      <c r="E41" s="52">
        <v>15.88</v>
      </c>
      <c r="F41" s="51" t="s">
        <v>597</v>
      </c>
      <c r="G41" s="51" t="s">
        <v>140</v>
      </c>
      <c r="H41" s="51" t="s">
        <v>270</v>
      </c>
      <c r="I41" s="51" t="s">
        <v>686</v>
      </c>
      <c r="J41" s="51" t="s">
        <v>686</v>
      </c>
      <c r="K41" s="51"/>
      <c r="L41" s="51" t="s">
        <v>598</v>
      </c>
      <c r="M41" s="51" t="s">
        <v>58</v>
      </c>
      <c r="N41" s="51" t="s">
        <v>26</v>
      </c>
      <c r="O41" s="51" t="s">
        <v>18</v>
      </c>
      <c r="P41" s="51" t="s">
        <v>690</v>
      </c>
      <c r="Q41" s="52">
        <v>10509</v>
      </c>
      <c r="R41" s="51" t="s">
        <v>600</v>
      </c>
      <c r="S41" s="52">
        <v>27</v>
      </c>
    </row>
    <row r="42" spans="1:19" x14ac:dyDescent="0.2">
      <c r="A42" s="51" t="s">
        <v>666</v>
      </c>
      <c r="B42" s="51" t="s">
        <v>683</v>
      </c>
      <c r="C42" s="51" t="s">
        <v>684</v>
      </c>
      <c r="D42" s="52">
        <v>1</v>
      </c>
      <c r="E42" s="52">
        <v>13.61</v>
      </c>
      <c r="F42" s="51" t="s">
        <v>667</v>
      </c>
      <c r="G42" s="51" t="s">
        <v>201</v>
      </c>
      <c r="H42" s="51" t="s">
        <v>271</v>
      </c>
      <c r="I42" s="51" t="s">
        <v>686</v>
      </c>
      <c r="J42" s="51" t="s">
        <v>686</v>
      </c>
      <c r="K42" s="51"/>
      <c r="L42" s="51" t="s">
        <v>668</v>
      </c>
      <c r="M42" s="51" t="s">
        <v>82</v>
      </c>
      <c r="N42" s="51" t="s">
        <v>28</v>
      </c>
      <c r="O42" s="51" t="s">
        <v>18</v>
      </c>
      <c r="P42" s="51" t="s">
        <v>690</v>
      </c>
      <c r="Q42" s="52">
        <v>10549</v>
      </c>
      <c r="R42" s="51" t="s">
        <v>670</v>
      </c>
      <c r="S42" s="52">
        <v>27</v>
      </c>
    </row>
    <row r="43" spans="1:19" x14ac:dyDescent="0.2">
      <c r="A43" s="51" t="s">
        <v>601</v>
      </c>
      <c r="B43" s="51" t="s">
        <v>683</v>
      </c>
      <c r="C43" s="51" t="s">
        <v>684</v>
      </c>
      <c r="D43" s="52">
        <v>1</v>
      </c>
      <c r="E43" s="52">
        <v>29.03</v>
      </c>
      <c r="F43" s="51" t="s">
        <v>602</v>
      </c>
      <c r="G43" s="51" t="s">
        <v>148</v>
      </c>
      <c r="H43" s="51" t="s">
        <v>270</v>
      </c>
      <c r="I43" s="51" t="s">
        <v>686</v>
      </c>
      <c r="J43" s="51" t="s">
        <v>686</v>
      </c>
      <c r="K43" s="51"/>
      <c r="L43" s="51" t="s">
        <v>603</v>
      </c>
      <c r="M43" s="51" t="s">
        <v>59</v>
      </c>
      <c r="N43" s="51" t="s">
        <v>56</v>
      </c>
      <c r="O43" s="51" t="s">
        <v>18</v>
      </c>
      <c r="P43" s="51" t="s">
        <v>690</v>
      </c>
      <c r="Q43" s="52">
        <v>10536</v>
      </c>
      <c r="R43" s="51" t="s">
        <v>605</v>
      </c>
      <c r="S43" s="52">
        <v>28</v>
      </c>
    </row>
    <row r="44" spans="1:19" x14ac:dyDescent="0.2">
      <c r="A44" s="51" t="s">
        <v>606</v>
      </c>
      <c r="B44" s="51" t="s">
        <v>683</v>
      </c>
      <c r="C44" s="51" t="s">
        <v>684</v>
      </c>
      <c r="D44" s="52">
        <v>1</v>
      </c>
      <c r="E44" s="52">
        <v>29.03</v>
      </c>
      <c r="F44" s="51" t="s">
        <v>607</v>
      </c>
      <c r="G44" s="51" t="s">
        <v>156</v>
      </c>
      <c r="H44" s="51" t="s">
        <v>270</v>
      </c>
      <c r="I44" s="51" t="s">
        <v>686</v>
      </c>
      <c r="J44" s="51" t="s">
        <v>686</v>
      </c>
      <c r="K44" s="51"/>
      <c r="L44" s="51" t="s">
        <v>608</v>
      </c>
      <c r="M44" s="51" t="s">
        <v>60</v>
      </c>
      <c r="N44" s="51" t="s">
        <v>26</v>
      </c>
      <c r="O44" s="51" t="s">
        <v>18</v>
      </c>
      <c r="P44" s="51" t="s">
        <v>690</v>
      </c>
      <c r="Q44" s="52">
        <v>10509</v>
      </c>
      <c r="R44" s="51" t="s">
        <v>605</v>
      </c>
      <c r="S44" s="52">
        <v>29</v>
      </c>
    </row>
    <row r="45" spans="1:19" x14ac:dyDescent="0.2">
      <c r="A45" s="51" t="s">
        <v>609</v>
      </c>
      <c r="B45" s="51" t="s">
        <v>683</v>
      </c>
      <c r="C45" s="51" t="s">
        <v>684</v>
      </c>
      <c r="D45" s="52">
        <v>1</v>
      </c>
      <c r="E45" s="52">
        <v>23.59</v>
      </c>
      <c r="F45" s="51" t="s">
        <v>610</v>
      </c>
      <c r="G45" s="51" t="s">
        <v>137</v>
      </c>
      <c r="H45" s="51" t="s">
        <v>269</v>
      </c>
      <c r="I45" s="51" t="s">
        <v>686</v>
      </c>
      <c r="J45" s="51" t="s">
        <v>686</v>
      </c>
      <c r="K45" s="51"/>
      <c r="L45" s="51" t="s">
        <v>611</v>
      </c>
      <c r="M45" s="51" t="s">
        <v>61</v>
      </c>
      <c r="N45" s="51" t="s">
        <v>28</v>
      </c>
      <c r="O45" s="51" t="s">
        <v>18</v>
      </c>
      <c r="P45" s="51" t="s">
        <v>690</v>
      </c>
      <c r="Q45" s="52">
        <v>10549</v>
      </c>
      <c r="R45" s="51" t="s">
        <v>605</v>
      </c>
      <c r="S45" s="52">
        <v>30</v>
      </c>
    </row>
    <row r="46" spans="1:19" x14ac:dyDescent="0.2">
      <c r="A46" s="51" t="s">
        <v>612</v>
      </c>
      <c r="B46" s="51" t="s">
        <v>683</v>
      </c>
      <c r="C46" s="51" t="s">
        <v>684</v>
      </c>
      <c r="D46" s="52">
        <v>1</v>
      </c>
      <c r="E46" s="52">
        <v>18.14</v>
      </c>
      <c r="F46" s="51" t="s">
        <v>613</v>
      </c>
      <c r="G46" s="51" t="s">
        <v>115</v>
      </c>
      <c r="H46" s="51" t="s">
        <v>269</v>
      </c>
      <c r="I46" s="51" t="s">
        <v>686</v>
      </c>
      <c r="J46" s="51" t="s">
        <v>686</v>
      </c>
      <c r="K46" s="51"/>
      <c r="L46" s="51" t="s">
        <v>614</v>
      </c>
      <c r="M46" s="51" t="s">
        <v>62</v>
      </c>
      <c r="N46" s="51" t="s">
        <v>28</v>
      </c>
      <c r="O46" s="51" t="s">
        <v>18</v>
      </c>
      <c r="P46" s="51" t="s">
        <v>690</v>
      </c>
      <c r="Q46" s="52">
        <v>10549</v>
      </c>
      <c r="R46" s="51" t="s">
        <v>605</v>
      </c>
      <c r="S46" s="52">
        <v>31</v>
      </c>
    </row>
    <row r="47" spans="1:19" x14ac:dyDescent="0.2">
      <c r="A47" s="51" t="s">
        <v>615</v>
      </c>
      <c r="B47" s="51" t="s">
        <v>683</v>
      </c>
      <c r="C47" s="51" t="s">
        <v>684</v>
      </c>
      <c r="D47" s="52">
        <v>1</v>
      </c>
      <c r="E47" s="52">
        <v>5.44</v>
      </c>
      <c r="F47" s="51" t="s">
        <v>616</v>
      </c>
      <c r="G47" s="51" t="s">
        <v>291</v>
      </c>
      <c r="H47" s="51" t="s">
        <v>286</v>
      </c>
      <c r="I47" s="51" t="s">
        <v>686</v>
      </c>
      <c r="J47" s="51" t="s">
        <v>686</v>
      </c>
      <c r="K47" s="51"/>
      <c r="L47" s="51" t="s">
        <v>617</v>
      </c>
      <c r="M47" s="51" t="s">
        <v>63</v>
      </c>
      <c r="N47" s="51" t="s">
        <v>64</v>
      </c>
      <c r="O47" s="51" t="s">
        <v>18</v>
      </c>
      <c r="P47" s="51" t="s">
        <v>690</v>
      </c>
      <c r="Q47" s="52">
        <v>10514</v>
      </c>
      <c r="R47" s="51" t="s">
        <v>605</v>
      </c>
      <c r="S47" s="52">
        <v>32</v>
      </c>
    </row>
    <row r="48" spans="1:19" x14ac:dyDescent="0.2">
      <c r="A48" s="51" t="s">
        <v>619</v>
      </c>
      <c r="B48" s="51" t="s">
        <v>683</v>
      </c>
      <c r="C48" s="51" t="s">
        <v>684</v>
      </c>
      <c r="D48" s="52">
        <v>1</v>
      </c>
      <c r="E48" s="52">
        <v>11.79</v>
      </c>
      <c r="F48" s="51" t="s">
        <v>620</v>
      </c>
      <c r="G48" s="51" t="s">
        <v>215</v>
      </c>
      <c r="H48" s="51" t="s">
        <v>272</v>
      </c>
      <c r="I48" s="51" t="s">
        <v>686</v>
      </c>
      <c r="J48" s="51" t="s">
        <v>686</v>
      </c>
      <c r="K48" s="51"/>
      <c r="L48" s="51" t="s">
        <v>621</v>
      </c>
      <c r="M48" s="51" t="s">
        <v>65</v>
      </c>
      <c r="N48" s="51" t="s">
        <v>28</v>
      </c>
      <c r="O48" s="51" t="s">
        <v>18</v>
      </c>
      <c r="P48" s="51" t="s">
        <v>690</v>
      </c>
      <c r="Q48" s="52">
        <v>10549</v>
      </c>
      <c r="R48" s="51" t="s">
        <v>623</v>
      </c>
      <c r="S48" s="52">
        <v>33</v>
      </c>
    </row>
    <row r="49" spans="1:19" x14ac:dyDescent="0.2">
      <c r="A49" s="51" t="s">
        <v>624</v>
      </c>
      <c r="B49" s="51" t="s">
        <v>683</v>
      </c>
      <c r="C49" s="51" t="s">
        <v>684</v>
      </c>
      <c r="D49" s="52">
        <v>1</v>
      </c>
      <c r="E49" s="52">
        <v>10.89</v>
      </c>
      <c r="F49" s="51" t="s">
        <v>625</v>
      </c>
      <c r="G49" s="51" t="s">
        <v>255</v>
      </c>
      <c r="H49" s="51" t="s">
        <v>274</v>
      </c>
      <c r="I49" s="51" t="s">
        <v>686</v>
      </c>
      <c r="J49" s="51" t="s">
        <v>686</v>
      </c>
      <c r="K49" s="51"/>
      <c r="L49" s="51" t="s">
        <v>626</v>
      </c>
      <c r="M49" s="51" t="s">
        <v>66</v>
      </c>
      <c r="N49" s="51" t="s">
        <v>22</v>
      </c>
      <c r="O49" s="51" t="s">
        <v>18</v>
      </c>
      <c r="P49" s="51" t="s">
        <v>690</v>
      </c>
      <c r="Q49" s="52">
        <v>10080</v>
      </c>
      <c r="R49" s="51" t="s">
        <v>623</v>
      </c>
      <c r="S49" s="52">
        <v>34</v>
      </c>
    </row>
    <row r="50" spans="1:19" x14ac:dyDescent="0.2">
      <c r="A50" s="51" t="s">
        <v>627</v>
      </c>
      <c r="B50" s="51" t="s">
        <v>683</v>
      </c>
      <c r="C50" s="51" t="s">
        <v>684</v>
      </c>
      <c r="D50" s="52">
        <v>1</v>
      </c>
      <c r="E50" s="52">
        <v>18.14</v>
      </c>
      <c r="F50" s="51" t="s">
        <v>628</v>
      </c>
      <c r="G50" s="51" t="s">
        <v>125</v>
      </c>
      <c r="H50" s="51" t="s">
        <v>269</v>
      </c>
      <c r="I50" s="51" t="s">
        <v>686</v>
      </c>
      <c r="J50" s="51" t="s">
        <v>686</v>
      </c>
      <c r="K50" s="51"/>
      <c r="L50" s="51" t="s">
        <v>629</v>
      </c>
      <c r="M50" s="51" t="s">
        <v>67</v>
      </c>
      <c r="N50" s="51" t="s">
        <v>26</v>
      </c>
      <c r="O50" s="51" t="s">
        <v>18</v>
      </c>
      <c r="P50" s="51" t="s">
        <v>690</v>
      </c>
      <c r="Q50" s="52">
        <v>10509</v>
      </c>
      <c r="R50" s="51" t="s">
        <v>631</v>
      </c>
      <c r="S50" s="52">
        <v>35</v>
      </c>
    </row>
    <row r="51" spans="1:19" x14ac:dyDescent="0.2">
      <c r="A51" s="51" t="s">
        <v>632</v>
      </c>
      <c r="B51" s="51" t="s">
        <v>683</v>
      </c>
      <c r="C51" s="51" t="s">
        <v>684</v>
      </c>
      <c r="D51" s="52">
        <v>1</v>
      </c>
      <c r="E51" s="52">
        <v>28.58</v>
      </c>
      <c r="F51" s="51" t="s">
        <v>633</v>
      </c>
      <c r="G51" s="51" t="s">
        <v>130</v>
      </c>
      <c r="H51" s="51" t="s">
        <v>269</v>
      </c>
      <c r="I51" s="51" t="s">
        <v>686</v>
      </c>
      <c r="J51" s="51" t="s">
        <v>686</v>
      </c>
      <c r="K51" s="51"/>
      <c r="L51" s="51" t="s">
        <v>634</v>
      </c>
      <c r="M51" s="51" t="s">
        <v>68</v>
      </c>
      <c r="N51" s="51" t="s">
        <v>28</v>
      </c>
      <c r="O51" s="51" t="s">
        <v>18</v>
      </c>
      <c r="P51" s="51" t="s">
        <v>690</v>
      </c>
      <c r="Q51" s="52">
        <v>10549</v>
      </c>
      <c r="R51" s="51" t="s">
        <v>636</v>
      </c>
      <c r="S51" s="52">
        <v>36</v>
      </c>
    </row>
    <row r="52" spans="1:19" x14ac:dyDescent="0.2">
      <c r="A52" s="51" t="s">
        <v>662</v>
      </c>
      <c r="B52" s="51" t="s">
        <v>683</v>
      </c>
      <c r="C52" s="51" t="s">
        <v>684</v>
      </c>
      <c r="D52" s="52">
        <v>1</v>
      </c>
      <c r="E52" s="52">
        <v>22.68</v>
      </c>
      <c r="F52" s="51" t="s">
        <v>663</v>
      </c>
      <c r="G52" s="51" t="s">
        <v>311</v>
      </c>
      <c r="H52" s="51" t="s">
        <v>269</v>
      </c>
      <c r="I52" s="51" t="s">
        <v>686</v>
      </c>
      <c r="J52" s="51" t="s">
        <v>686</v>
      </c>
      <c r="K52" s="51"/>
      <c r="L52" s="51" t="s">
        <v>664</v>
      </c>
      <c r="M52" s="51" t="s">
        <v>81</v>
      </c>
      <c r="N52" s="51" t="s">
        <v>50</v>
      </c>
      <c r="O52" s="51" t="s">
        <v>18</v>
      </c>
      <c r="P52" s="51" t="s">
        <v>690</v>
      </c>
      <c r="Q52" s="52">
        <v>10509</v>
      </c>
      <c r="R52" s="51" t="s">
        <v>665</v>
      </c>
      <c r="S52" s="52">
        <v>37</v>
      </c>
    </row>
    <row r="53" spans="1:19" x14ac:dyDescent="0.2">
      <c r="A53" s="51" t="s">
        <v>593</v>
      </c>
      <c r="B53" s="51" t="s">
        <v>683</v>
      </c>
      <c r="C53" s="51" t="s">
        <v>684</v>
      </c>
      <c r="D53" s="52">
        <v>1</v>
      </c>
      <c r="E53" s="52">
        <v>20.41</v>
      </c>
      <c r="F53" s="51" t="s">
        <v>594</v>
      </c>
      <c r="G53" s="51" t="s">
        <v>277</v>
      </c>
      <c r="H53" s="51" t="s">
        <v>276</v>
      </c>
      <c r="I53" s="51" t="s">
        <v>686</v>
      </c>
      <c r="J53" s="51" t="s">
        <v>686</v>
      </c>
      <c r="K53" s="51"/>
      <c r="L53" s="51" t="s">
        <v>595</v>
      </c>
      <c r="M53" s="51" t="s">
        <v>57</v>
      </c>
      <c r="N53" s="51" t="s">
        <v>28</v>
      </c>
      <c r="O53" s="51" t="s">
        <v>18</v>
      </c>
      <c r="P53" s="51" t="s">
        <v>690</v>
      </c>
      <c r="Q53" s="52">
        <v>10549</v>
      </c>
      <c r="R53" s="51" t="s">
        <v>661</v>
      </c>
      <c r="S53" s="52">
        <v>38</v>
      </c>
    </row>
    <row r="54" spans="1:19" x14ac:dyDescent="0.2">
      <c r="A54" s="51" t="s">
        <v>671</v>
      </c>
      <c r="B54" s="51" t="s">
        <v>683</v>
      </c>
      <c r="C54" s="51" t="s">
        <v>684</v>
      </c>
      <c r="D54" s="52">
        <v>1</v>
      </c>
      <c r="E54" s="52">
        <v>9.07</v>
      </c>
      <c r="F54" s="51" t="s">
        <v>672</v>
      </c>
      <c r="G54" s="51" t="s">
        <v>306</v>
      </c>
      <c r="H54" s="51" t="s">
        <v>269</v>
      </c>
      <c r="I54" s="51" t="s">
        <v>686</v>
      </c>
      <c r="J54" s="51" t="s">
        <v>686</v>
      </c>
      <c r="K54" s="51"/>
      <c r="L54" s="51" t="s">
        <v>673</v>
      </c>
      <c r="M54" s="51" t="s">
        <v>83</v>
      </c>
      <c r="N54" s="51" t="s">
        <v>28</v>
      </c>
      <c r="O54" s="51" t="s">
        <v>18</v>
      </c>
      <c r="P54" s="51" t="s">
        <v>690</v>
      </c>
      <c r="Q54" s="52">
        <v>10549</v>
      </c>
      <c r="R54" s="51" t="s">
        <v>675</v>
      </c>
      <c r="S54" s="52">
        <v>39</v>
      </c>
    </row>
    <row r="55" spans="1:19" s="57" customFormat="1" x14ac:dyDescent="0.2">
      <c r="A55" s="51" t="s">
        <v>676</v>
      </c>
      <c r="B55" s="51" t="s">
        <v>683</v>
      </c>
      <c r="C55" s="51" t="s">
        <v>684</v>
      </c>
      <c r="D55" s="52">
        <v>1</v>
      </c>
      <c r="E55" s="52">
        <v>9.07</v>
      </c>
      <c r="F55" s="51" t="s">
        <v>677</v>
      </c>
      <c r="G55" s="51" t="s">
        <v>161</v>
      </c>
      <c r="H55" s="51" t="s">
        <v>270</v>
      </c>
      <c r="I55" s="51" t="s">
        <v>686</v>
      </c>
      <c r="J55" s="51" t="s">
        <v>686</v>
      </c>
      <c r="K55" s="51"/>
      <c r="L55" s="51" t="s">
        <v>678</v>
      </c>
      <c r="M55" s="51" t="s">
        <v>84</v>
      </c>
      <c r="N55" s="51" t="s">
        <v>28</v>
      </c>
      <c r="O55" s="51" t="s">
        <v>18</v>
      </c>
      <c r="P55" s="51" t="s">
        <v>690</v>
      </c>
      <c r="Q55" s="52">
        <v>10549</v>
      </c>
      <c r="R55" s="51" t="s">
        <v>675</v>
      </c>
      <c r="S55" s="52">
        <v>39</v>
      </c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8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AE22" zoomScale="89" zoomScaleNormal="89" workbookViewId="0">
      <selection activeCell="AE33" sqref="A33:XFD33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05.8554687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4.425781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8.14062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4" t="s">
        <v>316</v>
      </c>
      <c r="B1" s="134"/>
      <c r="C1" s="134"/>
      <c r="D1" s="40" t="s">
        <v>447</v>
      </c>
      <c r="E1" s="74"/>
      <c r="F1" s="133"/>
      <c r="G1" s="133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76" t="s">
        <v>378</v>
      </c>
      <c r="B2" s="76" t="s">
        <v>379</v>
      </c>
      <c r="C2" s="76" t="s">
        <v>380</v>
      </c>
      <c r="D2" s="77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684</v>
      </c>
      <c r="C3" s="73" t="s">
        <v>685</v>
      </c>
      <c r="D3" s="73">
        <v>202</v>
      </c>
      <c r="E3" s="73">
        <v>30218300</v>
      </c>
      <c r="F3" s="73" t="s">
        <v>448</v>
      </c>
      <c r="G3" s="73"/>
      <c r="H3" s="73" t="s">
        <v>683</v>
      </c>
      <c r="I3" s="73">
        <v>1</v>
      </c>
      <c r="J3" s="73" t="s">
        <v>687</v>
      </c>
      <c r="K3" s="89">
        <v>20.41</v>
      </c>
      <c r="L3" s="90" t="s">
        <v>454</v>
      </c>
      <c r="M3" s="73" t="s">
        <v>688</v>
      </c>
      <c r="N3" s="73" t="s">
        <v>689</v>
      </c>
      <c r="O3" s="73"/>
      <c r="P3" s="73"/>
      <c r="Q3" s="73"/>
      <c r="R3" s="73" t="s">
        <v>449</v>
      </c>
      <c r="S3" s="73" t="s">
        <v>691</v>
      </c>
      <c r="T3" s="73" t="s">
        <v>692</v>
      </c>
      <c r="U3" s="73"/>
      <c r="V3" s="73"/>
      <c r="W3" s="73" t="s">
        <v>686</v>
      </c>
      <c r="X3" s="73"/>
      <c r="Y3" s="73" t="s">
        <v>450</v>
      </c>
      <c r="Z3" s="73" t="s">
        <v>86</v>
      </c>
      <c r="AA3" s="73" t="s">
        <v>87</v>
      </c>
      <c r="AB3" s="73" t="s">
        <v>18</v>
      </c>
      <c r="AC3" s="73">
        <v>10514</v>
      </c>
      <c r="AD3" s="73" t="s">
        <v>693</v>
      </c>
      <c r="AE3" s="73">
        <v>2504661220</v>
      </c>
      <c r="AF3" s="73" t="s">
        <v>694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686</v>
      </c>
      <c r="AZ3" s="73">
        <v>10</v>
      </c>
      <c r="BA3" s="73" t="s">
        <v>695</v>
      </c>
      <c r="BB3" s="73"/>
      <c r="BC3" s="73" t="s">
        <v>696</v>
      </c>
      <c r="BD3" s="73">
        <v>1</v>
      </c>
    </row>
    <row r="4" spans="1:56" s="45" customFormat="1" x14ac:dyDescent="0.25">
      <c r="A4" s="73">
        <v>23</v>
      </c>
      <c r="B4" s="73" t="s">
        <v>684</v>
      </c>
      <c r="C4" s="73" t="s">
        <v>685</v>
      </c>
      <c r="D4" s="73">
        <v>202</v>
      </c>
      <c r="E4" s="73">
        <v>30218300</v>
      </c>
      <c r="F4" s="73" t="s">
        <v>455</v>
      </c>
      <c r="G4" s="73"/>
      <c r="H4" s="73" t="s">
        <v>683</v>
      </c>
      <c r="I4" s="73">
        <v>1</v>
      </c>
      <c r="J4" s="73" t="s">
        <v>687</v>
      </c>
      <c r="K4" s="89">
        <v>20.41</v>
      </c>
      <c r="L4" s="90" t="s">
        <v>460</v>
      </c>
      <c r="M4" s="73" t="s">
        <v>688</v>
      </c>
      <c r="N4" s="73" t="s">
        <v>689</v>
      </c>
      <c r="O4" s="73"/>
      <c r="P4" s="73"/>
      <c r="Q4" s="73"/>
      <c r="R4" s="73" t="s">
        <v>456</v>
      </c>
      <c r="S4" s="73" t="s">
        <v>697</v>
      </c>
      <c r="T4" s="73" t="s">
        <v>692</v>
      </c>
      <c r="U4" s="73"/>
      <c r="V4" s="73"/>
      <c r="W4" s="73" t="s">
        <v>686</v>
      </c>
      <c r="X4" s="73"/>
      <c r="Y4" s="73" t="s">
        <v>457</v>
      </c>
      <c r="Z4" s="73" t="s">
        <v>88</v>
      </c>
      <c r="AA4" s="73" t="s">
        <v>26</v>
      </c>
      <c r="AB4" s="73" t="s">
        <v>18</v>
      </c>
      <c r="AC4" s="73">
        <v>10509</v>
      </c>
      <c r="AD4" s="73" t="s">
        <v>693</v>
      </c>
      <c r="AE4" s="73">
        <v>2407884612</v>
      </c>
      <c r="AF4" s="73" t="s">
        <v>694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686</v>
      </c>
      <c r="AZ4" s="73">
        <v>10</v>
      </c>
      <c r="BA4" s="73" t="s">
        <v>695</v>
      </c>
      <c r="BB4" s="73"/>
      <c r="BC4" s="73" t="s">
        <v>696</v>
      </c>
      <c r="BD4" s="73">
        <v>1</v>
      </c>
    </row>
    <row r="5" spans="1:56" s="45" customFormat="1" x14ac:dyDescent="0.25">
      <c r="A5" s="73">
        <v>23</v>
      </c>
      <c r="B5" s="73" t="s">
        <v>684</v>
      </c>
      <c r="C5" s="73" t="s">
        <v>685</v>
      </c>
      <c r="D5" s="73">
        <v>202</v>
      </c>
      <c r="E5" s="73">
        <v>30218300</v>
      </c>
      <c r="F5" s="73" t="s">
        <v>461</v>
      </c>
      <c r="G5" s="73"/>
      <c r="H5" s="73" t="s">
        <v>683</v>
      </c>
      <c r="I5" s="73">
        <v>1</v>
      </c>
      <c r="J5" s="73" t="s">
        <v>687</v>
      </c>
      <c r="K5" s="89">
        <v>20.41</v>
      </c>
      <c r="L5" s="90" t="s">
        <v>464</v>
      </c>
      <c r="M5" s="73" t="s">
        <v>688</v>
      </c>
      <c r="N5" s="73" t="s">
        <v>689</v>
      </c>
      <c r="O5" s="73"/>
      <c r="P5" s="73"/>
      <c r="Q5" s="73"/>
      <c r="R5" s="73" t="s">
        <v>449</v>
      </c>
      <c r="S5" s="73" t="s">
        <v>698</v>
      </c>
      <c r="T5" s="73" t="s">
        <v>692</v>
      </c>
      <c r="U5" s="73"/>
      <c r="V5" s="73"/>
      <c r="W5" s="73" t="s">
        <v>686</v>
      </c>
      <c r="X5" s="73"/>
      <c r="Y5" s="73" t="s">
        <v>462</v>
      </c>
      <c r="Z5" s="73" t="s">
        <v>89</v>
      </c>
      <c r="AA5" s="73" t="s">
        <v>28</v>
      </c>
      <c r="AB5" s="73" t="s">
        <v>18</v>
      </c>
      <c r="AC5" s="73">
        <v>10549</v>
      </c>
      <c r="AD5" s="73" t="s">
        <v>693</v>
      </c>
      <c r="AE5" s="73">
        <v>6673919003</v>
      </c>
      <c r="AF5" s="73" t="s">
        <v>694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686</v>
      </c>
      <c r="AZ5" s="73">
        <v>10</v>
      </c>
      <c r="BA5" s="73" t="s">
        <v>695</v>
      </c>
      <c r="BB5" s="73"/>
      <c r="BC5" s="73" t="s">
        <v>696</v>
      </c>
      <c r="BD5" s="73">
        <v>2</v>
      </c>
    </row>
    <row r="6" spans="1:56" s="45" customFormat="1" x14ac:dyDescent="0.25">
      <c r="A6" s="73">
        <v>23</v>
      </c>
      <c r="B6" s="73" t="s">
        <v>684</v>
      </c>
      <c r="C6" s="73" t="s">
        <v>685</v>
      </c>
      <c r="D6" s="73">
        <v>202</v>
      </c>
      <c r="E6" s="73">
        <v>30218300</v>
      </c>
      <c r="F6" s="73" t="s">
        <v>465</v>
      </c>
      <c r="G6" s="73"/>
      <c r="H6" s="73" t="s">
        <v>683</v>
      </c>
      <c r="I6" s="73">
        <v>1</v>
      </c>
      <c r="J6" s="73" t="s">
        <v>687</v>
      </c>
      <c r="K6" s="89">
        <v>20.41</v>
      </c>
      <c r="L6" s="91" t="s">
        <v>464</v>
      </c>
      <c r="M6" s="73" t="s">
        <v>688</v>
      </c>
      <c r="N6" s="73" t="s">
        <v>689</v>
      </c>
      <c r="O6" s="73"/>
      <c r="P6" s="73"/>
      <c r="Q6" s="73"/>
      <c r="R6" s="73" t="s">
        <v>466</v>
      </c>
      <c r="S6" s="73" t="s">
        <v>699</v>
      </c>
      <c r="T6" s="73" t="s">
        <v>692</v>
      </c>
      <c r="U6" s="73"/>
      <c r="V6" s="73"/>
      <c r="W6" s="73" t="s">
        <v>686</v>
      </c>
      <c r="X6" s="73"/>
      <c r="Y6" s="73" t="s">
        <v>467</v>
      </c>
      <c r="Z6" s="73" t="s">
        <v>90</v>
      </c>
      <c r="AA6" s="73" t="s">
        <v>28</v>
      </c>
      <c r="AB6" s="73" t="s">
        <v>18</v>
      </c>
      <c r="AC6" s="73">
        <v>10549</v>
      </c>
      <c r="AD6" s="73" t="s">
        <v>693</v>
      </c>
      <c r="AE6" s="73">
        <v>2654002310</v>
      </c>
      <c r="AF6" s="73" t="s">
        <v>694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686</v>
      </c>
      <c r="AZ6" s="73">
        <v>10</v>
      </c>
      <c r="BA6" s="73" t="s">
        <v>695</v>
      </c>
      <c r="BB6" s="73"/>
      <c r="BC6" s="73" t="s">
        <v>696</v>
      </c>
      <c r="BD6" s="73">
        <v>2</v>
      </c>
    </row>
    <row r="7" spans="1:56" s="45" customFormat="1" x14ac:dyDescent="0.25">
      <c r="A7" s="73">
        <v>23</v>
      </c>
      <c r="B7" s="73" t="s">
        <v>684</v>
      </c>
      <c r="C7" s="73" t="s">
        <v>685</v>
      </c>
      <c r="D7" s="73">
        <v>202</v>
      </c>
      <c r="E7" s="73">
        <v>30218300</v>
      </c>
      <c r="F7" s="73" t="s">
        <v>469</v>
      </c>
      <c r="G7" s="73"/>
      <c r="H7" s="73" t="s">
        <v>683</v>
      </c>
      <c r="I7" s="73">
        <v>1</v>
      </c>
      <c r="J7" s="73" t="s">
        <v>687</v>
      </c>
      <c r="K7" s="89">
        <v>20.41</v>
      </c>
      <c r="L7" s="91" t="s">
        <v>464</v>
      </c>
      <c r="M7" s="73" t="s">
        <v>688</v>
      </c>
      <c r="N7" s="73" t="s">
        <v>689</v>
      </c>
      <c r="O7" s="73"/>
      <c r="P7" s="73"/>
      <c r="Q7" s="73"/>
      <c r="R7" s="73" t="s">
        <v>449</v>
      </c>
      <c r="S7" s="73" t="s">
        <v>699</v>
      </c>
      <c r="T7" s="73" t="s">
        <v>692</v>
      </c>
      <c r="U7" s="73"/>
      <c r="V7" s="73"/>
      <c r="W7" s="73" t="s">
        <v>686</v>
      </c>
      <c r="X7" s="73"/>
      <c r="Y7" s="73" t="s">
        <v>470</v>
      </c>
      <c r="Z7" s="73" t="s">
        <v>91</v>
      </c>
      <c r="AA7" s="73" t="s">
        <v>26</v>
      </c>
      <c r="AB7" s="73" t="s">
        <v>18</v>
      </c>
      <c r="AC7" s="73">
        <v>10507</v>
      </c>
      <c r="AD7" s="73" t="s">
        <v>693</v>
      </c>
      <c r="AE7" s="73">
        <v>2406063619</v>
      </c>
      <c r="AF7" s="73" t="s">
        <v>694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686</v>
      </c>
      <c r="AZ7" s="73">
        <v>10</v>
      </c>
      <c r="BA7" s="73" t="s">
        <v>695</v>
      </c>
      <c r="BB7" s="73"/>
      <c r="BC7" s="73" t="s">
        <v>696</v>
      </c>
      <c r="BD7" s="73">
        <v>3</v>
      </c>
    </row>
    <row r="8" spans="1:56" s="45" customFormat="1" x14ac:dyDescent="0.25">
      <c r="A8" s="73">
        <v>23</v>
      </c>
      <c r="B8" s="73" t="s">
        <v>684</v>
      </c>
      <c r="C8" s="73" t="s">
        <v>685</v>
      </c>
      <c r="D8" s="73">
        <v>202</v>
      </c>
      <c r="E8" s="73">
        <v>30218300</v>
      </c>
      <c r="F8" s="73" t="s">
        <v>472</v>
      </c>
      <c r="G8" s="73"/>
      <c r="H8" s="73" t="s">
        <v>683</v>
      </c>
      <c r="I8" s="73">
        <v>1</v>
      </c>
      <c r="J8" s="73" t="s">
        <v>687</v>
      </c>
      <c r="K8" s="89">
        <v>20.41</v>
      </c>
      <c r="L8" s="91" t="s">
        <v>460</v>
      </c>
      <c r="M8" s="73" t="s">
        <v>688</v>
      </c>
      <c r="N8" s="73" t="s">
        <v>689</v>
      </c>
      <c r="O8" s="73"/>
      <c r="P8" s="73"/>
      <c r="Q8" s="73"/>
      <c r="R8" s="73" t="s">
        <v>473</v>
      </c>
      <c r="S8" s="73" t="s">
        <v>700</v>
      </c>
      <c r="T8" s="73" t="s">
        <v>692</v>
      </c>
      <c r="U8" s="73"/>
      <c r="V8" s="73"/>
      <c r="W8" s="73" t="s">
        <v>686</v>
      </c>
      <c r="X8" s="73"/>
      <c r="Y8" s="73" t="s">
        <v>474</v>
      </c>
      <c r="Z8" s="73" t="s">
        <v>92</v>
      </c>
      <c r="AA8" s="73" t="s">
        <v>28</v>
      </c>
      <c r="AB8" s="73" t="s">
        <v>18</v>
      </c>
      <c r="AC8" s="73">
        <v>10509</v>
      </c>
      <c r="AD8" s="73" t="s">
        <v>693</v>
      </c>
      <c r="AE8" s="73">
        <v>2404849900</v>
      </c>
      <c r="AF8" s="73" t="s">
        <v>694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686</v>
      </c>
      <c r="AZ8" s="73">
        <v>10</v>
      </c>
      <c r="BA8" s="73" t="s">
        <v>695</v>
      </c>
      <c r="BB8" s="73"/>
      <c r="BC8" s="73" t="s">
        <v>696</v>
      </c>
      <c r="BD8" s="73">
        <v>3</v>
      </c>
    </row>
    <row r="9" spans="1:56" s="45" customFormat="1" x14ac:dyDescent="0.25">
      <c r="A9" s="73">
        <v>23</v>
      </c>
      <c r="B9" s="73" t="s">
        <v>684</v>
      </c>
      <c r="C9" s="73" t="s">
        <v>685</v>
      </c>
      <c r="D9" s="73">
        <v>202</v>
      </c>
      <c r="E9" s="73">
        <v>30218300</v>
      </c>
      <c r="F9" s="73" t="s">
        <v>476</v>
      </c>
      <c r="G9" s="73"/>
      <c r="H9" s="73" t="s">
        <v>683</v>
      </c>
      <c r="I9" s="73">
        <v>1</v>
      </c>
      <c r="J9" s="73" t="s">
        <v>687</v>
      </c>
      <c r="K9" s="89">
        <v>31.75</v>
      </c>
      <c r="L9" s="91" t="s">
        <v>481</v>
      </c>
      <c r="M9" s="73" t="s">
        <v>688</v>
      </c>
      <c r="N9" s="73" t="s">
        <v>689</v>
      </c>
      <c r="O9" s="73"/>
      <c r="P9" s="73"/>
      <c r="Q9" s="73"/>
      <c r="R9" s="73" t="s">
        <v>477</v>
      </c>
      <c r="S9" s="73" t="s">
        <v>699</v>
      </c>
      <c r="T9" s="73" t="s">
        <v>692</v>
      </c>
      <c r="U9" s="73"/>
      <c r="V9" s="73"/>
      <c r="W9" s="73" t="s">
        <v>686</v>
      </c>
      <c r="X9" s="73"/>
      <c r="Y9" s="73" t="s">
        <v>478</v>
      </c>
      <c r="Z9" s="73" t="s">
        <v>21</v>
      </c>
      <c r="AA9" s="73" t="s">
        <v>22</v>
      </c>
      <c r="AB9" s="73" t="s">
        <v>18</v>
      </c>
      <c r="AC9" s="73">
        <v>10080</v>
      </c>
      <c r="AD9" s="73" t="s">
        <v>693</v>
      </c>
      <c r="AE9" s="73">
        <v>6994213032</v>
      </c>
      <c r="AF9" s="73" t="s">
        <v>694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686</v>
      </c>
      <c r="AZ9" s="73">
        <v>13</v>
      </c>
      <c r="BA9" s="73" t="s">
        <v>695</v>
      </c>
      <c r="BB9" s="73"/>
      <c r="BC9" s="73" t="s">
        <v>696</v>
      </c>
      <c r="BD9" s="73">
        <v>4</v>
      </c>
    </row>
    <row r="10" spans="1:56" s="45" customFormat="1" x14ac:dyDescent="0.25">
      <c r="A10" s="73">
        <v>23</v>
      </c>
      <c r="B10" s="73" t="s">
        <v>684</v>
      </c>
      <c r="C10" s="73" t="s">
        <v>685</v>
      </c>
      <c r="D10" s="73">
        <v>202</v>
      </c>
      <c r="E10" s="73">
        <v>30218300</v>
      </c>
      <c r="F10" s="73" t="s">
        <v>445</v>
      </c>
      <c r="G10" s="73"/>
      <c r="H10" s="73" t="s">
        <v>683</v>
      </c>
      <c r="I10" s="73">
        <v>1</v>
      </c>
      <c r="J10" s="73" t="s">
        <v>687</v>
      </c>
      <c r="K10" s="89">
        <v>20.41</v>
      </c>
      <c r="L10" s="91" t="s">
        <v>460</v>
      </c>
      <c r="M10" s="73" t="s">
        <v>688</v>
      </c>
      <c r="N10" s="73" t="s">
        <v>689</v>
      </c>
      <c r="O10" s="73"/>
      <c r="P10" s="73"/>
      <c r="Q10" s="73"/>
      <c r="R10" s="73" t="s">
        <v>482</v>
      </c>
      <c r="S10" s="73" t="s">
        <v>701</v>
      </c>
      <c r="T10" s="73" t="s">
        <v>692</v>
      </c>
      <c r="U10" s="73"/>
      <c r="V10" s="73"/>
      <c r="W10" s="73" t="s">
        <v>686</v>
      </c>
      <c r="X10" s="73"/>
      <c r="Y10" s="73" t="s">
        <v>483</v>
      </c>
      <c r="Z10" s="73" t="s">
        <v>25</v>
      </c>
      <c r="AA10" s="73" t="s">
        <v>26</v>
      </c>
      <c r="AB10" s="73" t="s">
        <v>18</v>
      </c>
      <c r="AC10" s="73">
        <v>10549</v>
      </c>
      <c r="AD10" s="73" t="s">
        <v>693</v>
      </c>
      <c r="AE10" s="73">
        <v>3014339771</v>
      </c>
      <c r="AF10" s="73" t="s">
        <v>694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686</v>
      </c>
      <c r="AZ10" s="73">
        <v>10</v>
      </c>
      <c r="BA10" s="73" t="s">
        <v>695</v>
      </c>
      <c r="BB10" s="73"/>
      <c r="BC10" s="73" t="s">
        <v>696</v>
      </c>
      <c r="BD10" s="73">
        <v>5</v>
      </c>
    </row>
    <row r="11" spans="1:56" s="45" customFormat="1" x14ac:dyDescent="0.25">
      <c r="A11" s="73">
        <v>23</v>
      </c>
      <c r="B11" s="73" t="s">
        <v>684</v>
      </c>
      <c r="C11" s="73" t="s">
        <v>685</v>
      </c>
      <c r="D11" s="73">
        <v>202</v>
      </c>
      <c r="E11" s="73">
        <v>30218300</v>
      </c>
      <c r="F11" s="73" t="s">
        <v>485</v>
      </c>
      <c r="G11" s="73"/>
      <c r="H11" s="73" t="s">
        <v>683</v>
      </c>
      <c r="I11" s="73">
        <v>1</v>
      </c>
      <c r="J11" s="73" t="s">
        <v>687</v>
      </c>
      <c r="K11" s="89">
        <v>20.41</v>
      </c>
      <c r="L11" s="91" t="s">
        <v>490</v>
      </c>
      <c r="M11" s="73" t="s">
        <v>688</v>
      </c>
      <c r="N11" s="73" t="s">
        <v>689</v>
      </c>
      <c r="O11" s="73"/>
      <c r="P11" s="73"/>
      <c r="Q11" s="73"/>
      <c r="R11" s="73" t="s">
        <v>486</v>
      </c>
      <c r="S11" s="73" t="s">
        <v>700</v>
      </c>
      <c r="T11" s="73" t="s">
        <v>692</v>
      </c>
      <c r="U11" s="73"/>
      <c r="V11" s="73"/>
      <c r="W11" s="73" t="s">
        <v>686</v>
      </c>
      <c r="X11" s="73"/>
      <c r="Y11" s="73" t="s">
        <v>487</v>
      </c>
      <c r="Z11" s="73" t="s">
        <v>27</v>
      </c>
      <c r="AA11" s="73" t="s">
        <v>28</v>
      </c>
      <c r="AB11" s="73" t="s">
        <v>18</v>
      </c>
      <c r="AC11" s="73">
        <v>10549</v>
      </c>
      <c r="AD11" s="73" t="s">
        <v>693</v>
      </c>
      <c r="AE11" s="73">
        <v>2406484990</v>
      </c>
      <c r="AF11" s="73" t="s">
        <v>694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686</v>
      </c>
      <c r="AZ11" s="73">
        <v>10</v>
      </c>
      <c r="BA11" s="73" t="s">
        <v>695</v>
      </c>
      <c r="BB11" s="73"/>
      <c r="BC11" s="73" t="s">
        <v>696</v>
      </c>
      <c r="BD11" s="73">
        <v>5</v>
      </c>
    </row>
    <row r="12" spans="1:56" s="45" customFormat="1" x14ac:dyDescent="0.25">
      <c r="A12" s="73">
        <v>23</v>
      </c>
      <c r="B12" s="73" t="s">
        <v>684</v>
      </c>
      <c r="C12" s="73" t="s">
        <v>685</v>
      </c>
      <c r="D12" s="73">
        <v>202</v>
      </c>
      <c r="E12" s="73">
        <v>30218300</v>
      </c>
      <c r="F12" s="73" t="s">
        <v>491</v>
      </c>
      <c r="G12" s="73"/>
      <c r="H12" s="73" t="s">
        <v>683</v>
      </c>
      <c r="I12" s="73">
        <v>1</v>
      </c>
      <c r="J12" s="73" t="s">
        <v>687</v>
      </c>
      <c r="K12" s="89">
        <v>20.41</v>
      </c>
      <c r="L12" s="91" t="s">
        <v>454</v>
      </c>
      <c r="M12" s="73" t="s">
        <v>688</v>
      </c>
      <c r="N12" s="73" t="s">
        <v>689</v>
      </c>
      <c r="O12" s="73"/>
      <c r="P12" s="73"/>
      <c r="Q12" s="73"/>
      <c r="R12" s="73" t="s">
        <v>492</v>
      </c>
      <c r="S12" s="73" t="s">
        <v>702</v>
      </c>
      <c r="T12" s="73" t="s">
        <v>692</v>
      </c>
      <c r="U12" s="73"/>
      <c r="V12" s="73"/>
      <c r="W12" s="73" t="s">
        <v>686</v>
      </c>
      <c r="X12" s="73"/>
      <c r="Y12" s="73" t="s">
        <v>493</v>
      </c>
      <c r="Z12" s="73" t="s">
        <v>29</v>
      </c>
      <c r="AA12" s="73" t="s">
        <v>28</v>
      </c>
      <c r="AB12" s="73" t="s">
        <v>18</v>
      </c>
      <c r="AC12" s="73">
        <v>10549</v>
      </c>
      <c r="AD12" s="73" t="s">
        <v>693</v>
      </c>
      <c r="AE12" s="73">
        <v>2402241149</v>
      </c>
      <c r="AF12" s="73" t="s">
        <v>694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686</v>
      </c>
      <c r="AZ12" s="73">
        <v>10</v>
      </c>
      <c r="BA12" s="73" t="s">
        <v>695</v>
      </c>
      <c r="BB12" s="73"/>
      <c r="BC12" s="73" t="s">
        <v>696</v>
      </c>
      <c r="BD12" s="73">
        <v>6</v>
      </c>
    </row>
    <row r="13" spans="1:56" s="45" customFormat="1" x14ac:dyDescent="0.25">
      <c r="A13" s="73">
        <v>23</v>
      </c>
      <c r="B13" s="73" t="s">
        <v>684</v>
      </c>
      <c r="C13" s="73" t="s">
        <v>685</v>
      </c>
      <c r="D13" s="73">
        <v>202</v>
      </c>
      <c r="E13" s="73">
        <v>30218300</v>
      </c>
      <c r="F13" s="73" t="s">
        <v>495</v>
      </c>
      <c r="G13" s="73"/>
      <c r="H13" s="73" t="s">
        <v>683</v>
      </c>
      <c r="I13" s="73">
        <v>1</v>
      </c>
      <c r="J13" s="73" t="s">
        <v>687</v>
      </c>
      <c r="K13" s="89">
        <v>20.41</v>
      </c>
      <c r="L13" s="91" t="s">
        <v>454</v>
      </c>
      <c r="M13" s="73" t="s">
        <v>688</v>
      </c>
      <c r="N13" s="73" t="s">
        <v>689</v>
      </c>
      <c r="O13" s="73"/>
      <c r="P13" s="73"/>
      <c r="Q13" s="73"/>
      <c r="R13" s="73" t="s">
        <v>496</v>
      </c>
      <c r="S13" s="73" t="s">
        <v>692</v>
      </c>
      <c r="T13" s="73" t="s">
        <v>692</v>
      </c>
      <c r="U13" s="73"/>
      <c r="V13" s="73"/>
      <c r="W13" s="73" t="s">
        <v>686</v>
      </c>
      <c r="X13" s="73"/>
      <c r="Y13" s="73" t="s">
        <v>497</v>
      </c>
      <c r="Z13" s="73" t="s">
        <v>30</v>
      </c>
      <c r="AA13" s="73" t="s">
        <v>28</v>
      </c>
      <c r="AB13" s="73" t="s">
        <v>18</v>
      </c>
      <c r="AC13" s="73">
        <v>10549</v>
      </c>
      <c r="AD13" s="73" t="s">
        <v>693</v>
      </c>
      <c r="AE13" s="73">
        <v>4102273006</v>
      </c>
      <c r="AF13" s="73" t="s">
        <v>694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686</v>
      </c>
      <c r="AZ13" s="73">
        <v>10</v>
      </c>
      <c r="BA13" s="73" t="s">
        <v>695</v>
      </c>
      <c r="BB13" s="73"/>
      <c r="BC13" s="73" t="s">
        <v>696</v>
      </c>
      <c r="BD13" s="73">
        <v>6</v>
      </c>
    </row>
    <row r="14" spans="1:56" s="45" customFormat="1" x14ac:dyDescent="0.25">
      <c r="A14" s="73">
        <v>23</v>
      </c>
      <c r="B14" s="73" t="s">
        <v>684</v>
      </c>
      <c r="C14" s="73" t="s">
        <v>685</v>
      </c>
      <c r="D14" s="73">
        <v>202</v>
      </c>
      <c r="E14" s="73">
        <v>30218300</v>
      </c>
      <c r="F14" s="73" t="s">
        <v>499</v>
      </c>
      <c r="G14" s="73"/>
      <c r="H14" s="73" t="s">
        <v>683</v>
      </c>
      <c r="I14" s="73">
        <v>1</v>
      </c>
      <c r="J14" s="73" t="s">
        <v>687</v>
      </c>
      <c r="K14" s="89">
        <v>29.48</v>
      </c>
      <c r="L14" s="91" t="s">
        <v>464</v>
      </c>
      <c r="M14" s="73" t="s">
        <v>688</v>
      </c>
      <c r="N14" s="73" t="s">
        <v>689</v>
      </c>
      <c r="O14" s="73"/>
      <c r="P14" s="73"/>
      <c r="Q14" s="73"/>
      <c r="R14" s="73" t="s">
        <v>500</v>
      </c>
      <c r="S14" s="73" t="s">
        <v>703</v>
      </c>
      <c r="T14" s="73" t="s">
        <v>692</v>
      </c>
      <c r="U14" s="73"/>
      <c r="V14" s="73"/>
      <c r="W14" s="73" t="s">
        <v>686</v>
      </c>
      <c r="X14" s="73"/>
      <c r="Y14" s="73" t="s">
        <v>501</v>
      </c>
      <c r="Z14" s="73" t="s">
        <v>31</v>
      </c>
      <c r="AA14" s="73" t="s">
        <v>28</v>
      </c>
      <c r="AB14" s="73" t="s">
        <v>18</v>
      </c>
      <c r="AC14" s="73">
        <v>10549</v>
      </c>
      <c r="AD14" s="73" t="s">
        <v>693</v>
      </c>
      <c r="AE14" s="73">
        <v>2404906070</v>
      </c>
      <c r="AF14" s="73" t="s">
        <v>694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686</v>
      </c>
      <c r="AZ14" s="73">
        <v>12</v>
      </c>
      <c r="BA14" s="73" t="s">
        <v>695</v>
      </c>
      <c r="BB14" s="73"/>
      <c r="BC14" s="73" t="s">
        <v>696</v>
      </c>
      <c r="BD14" s="73">
        <v>7</v>
      </c>
    </row>
    <row r="15" spans="1:56" s="45" customFormat="1" x14ac:dyDescent="0.25">
      <c r="A15" s="73">
        <v>23</v>
      </c>
      <c r="B15" s="73" t="s">
        <v>684</v>
      </c>
      <c r="C15" s="73" t="s">
        <v>685</v>
      </c>
      <c r="D15" s="73">
        <v>202</v>
      </c>
      <c r="E15" s="73">
        <v>30218300</v>
      </c>
      <c r="F15" s="73" t="s">
        <v>502</v>
      </c>
      <c r="G15" s="73"/>
      <c r="H15" s="73" t="s">
        <v>683</v>
      </c>
      <c r="I15" s="73">
        <v>1</v>
      </c>
      <c r="J15" s="73" t="s">
        <v>687</v>
      </c>
      <c r="K15" s="89">
        <v>20.41</v>
      </c>
      <c r="L15" s="91" t="s">
        <v>464</v>
      </c>
      <c r="M15" s="73" t="s">
        <v>688</v>
      </c>
      <c r="N15" s="73" t="s">
        <v>689</v>
      </c>
      <c r="O15" s="73"/>
      <c r="P15" s="73"/>
      <c r="Q15" s="73"/>
      <c r="R15" s="73" t="s">
        <v>503</v>
      </c>
      <c r="S15" s="73" t="s">
        <v>704</v>
      </c>
      <c r="T15" s="73" t="s">
        <v>692</v>
      </c>
      <c r="U15" s="73"/>
      <c r="V15" s="73"/>
      <c r="W15" s="73" t="s">
        <v>686</v>
      </c>
      <c r="X15" s="73"/>
      <c r="Y15" s="73" t="s">
        <v>504</v>
      </c>
      <c r="Z15" s="73" t="s">
        <v>32</v>
      </c>
      <c r="AA15" s="73" t="s">
        <v>28</v>
      </c>
      <c r="AB15" s="73" t="s">
        <v>18</v>
      </c>
      <c r="AC15" s="73">
        <v>10549</v>
      </c>
      <c r="AD15" s="73" t="s">
        <v>693</v>
      </c>
      <c r="AE15" s="73">
        <v>2406011475</v>
      </c>
      <c r="AF15" s="73" t="s">
        <v>694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686</v>
      </c>
      <c r="AZ15" s="73">
        <v>10</v>
      </c>
      <c r="BA15" s="73" t="s">
        <v>695</v>
      </c>
      <c r="BB15" s="73"/>
      <c r="BC15" s="73" t="s">
        <v>696</v>
      </c>
      <c r="BD15" s="73">
        <v>8</v>
      </c>
    </row>
    <row r="16" spans="1:56" s="45" customFormat="1" x14ac:dyDescent="0.25">
      <c r="A16" s="73">
        <v>23</v>
      </c>
      <c r="B16" s="73" t="s">
        <v>684</v>
      </c>
      <c r="C16" s="73" t="s">
        <v>685</v>
      </c>
      <c r="D16" s="73">
        <v>202</v>
      </c>
      <c r="E16" s="73">
        <v>30218300</v>
      </c>
      <c r="F16" s="73" t="s">
        <v>506</v>
      </c>
      <c r="G16" s="73"/>
      <c r="H16" s="73" t="s">
        <v>683</v>
      </c>
      <c r="I16" s="73">
        <v>1</v>
      </c>
      <c r="J16" s="73" t="s">
        <v>687</v>
      </c>
      <c r="K16" s="89">
        <v>13.61</v>
      </c>
      <c r="L16" s="91" t="s">
        <v>510</v>
      </c>
      <c r="M16" s="73" t="s">
        <v>688</v>
      </c>
      <c r="N16" s="73" t="s">
        <v>689</v>
      </c>
      <c r="O16" s="73"/>
      <c r="P16" s="73"/>
      <c r="Q16" s="73"/>
      <c r="R16" s="73" t="s">
        <v>507</v>
      </c>
      <c r="S16" s="73" t="s">
        <v>702</v>
      </c>
      <c r="T16" s="73" t="s">
        <v>692</v>
      </c>
      <c r="U16" s="73"/>
      <c r="V16" s="73"/>
      <c r="W16" s="73" t="s">
        <v>686</v>
      </c>
      <c r="X16" s="73"/>
      <c r="Y16" s="73" t="s">
        <v>508</v>
      </c>
      <c r="Z16" s="73" t="s">
        <v>33</v>
      </c>
      <c r="AA16" s="73" t="s">
        <v>28</v>
      </c>
      <c r="AB16" s="73" t="s">
        <v>18</v>
      </c>
      <c r="AC16" s="73">
        <v>10549</v>
      </c>
      <c r="AD16" s="73" t="s">
        <v>693</v>
      </c>
      <c r="AE16" s="73">
        <v>9065451123</v>
      </c>
      <c r="AF16" s="73" t="s">
        <v>694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686</v>
      </c>
      <c r="AZ16" s="73">
        <v>9</v>
      </c>
      <c r="BA16" s="73" t="s">
        <v>695</v>
      </c>
      <c r="BB16" s="73"/>
      <c r="BC16" s="73" t="s">
        <v>696</v>
      </c>
      <c r="BD16" s="73">
        <v>8</v>
      </c>
    </row>
    <row r="17" spans="1:56" s="45" customFormat="1" x14ac:dyDescent="0.25">
      <c r="A17" s="73">
        <v>23</v>
      </c>
      <c r="B17" s="73" t="s">
        <v>684</v>
      </c>
      <c r="C17" s="73" t="s">
        <v>685</v>
      </c>
      <c r="D17" s="73">
        <v>202</v>
      </c>
      <c r="E17" s="73">
        <v>30218300</v>
      </c>
      <c r="F17" s="73" t="s">
        <v>524</v>
      </c>
      <c r="G17" s="73"/>
      <c r="H17" s="73" t="s">
        <v>683</v>
      </c>
      <c r="I17" s="73">
        <v>1</v>
      </c>
      <c r="J17" s="73" t="s">
        <v>687</v>
      </c>
      <c r="K17" s="89">
        <v>22.68</v>
      </c>
      <c r="L17" s="91" t="s">
        <v>527</v>
      </c>
      <c r="M17" s="73" t="s">
        <v>688</v>
      </c>
      <c r="N17" s="73" t="s">
        <v>689</v>
      </c>
      <c r="O17" s="73"/>
      <c r="P17" s="73"/>
      <c r="Q17" s="73"/>
      <c r="R17" s="73" t="s">
        <v>449</v>
      </c>
      <c r="S17" s="73" t="s">
        <v>705</v>
      </c>
      <c r="T17" s="73" t="s">
        <v>692</v>
      </c>
      <c r="U17" s="73"/>
      <c r="V17" s="73"/>
      <c r="W17" s="73" t="s">
        <v>686</v>
      </c>
      <c r="X17" s="73"/>
      <c r="Y17" s="73" t="s">
        <v>525</v>
      </c>
      <c r="Z17" s="73" t="s">
        <v>38</v>
      </c>
      <c r="AA17" s="73" t="s">
        <v>39</v>
      </c>
      <c r="AB17" s="73" t="s">
        <v>18</v>
      </c>
      <c r="AC17" s="73">
        <v>10549</v>
      </c>
      <c r="AD17" s="73" t="s">
        <v>693</v>
      </c>
      <c r="AE17" s="73">
        <v>2409702439</v>
      </c>
      <c r="AF17" s="73" t="s">
        <v>694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686</v>
      </c>
      <c r="AZ17" s="73">
        <v>11</v>
      </c>
      <c r="BA17" s="73" t="s">
        <v>695</v>
      </c>
      <c r="BB17" s="73"/>
      <c r="BC17" s="73" t="s">
        <v>696</v>
      </c>
      <c r="BD17" s="73">
        <v>9</v>
      </c>
    </row>
    <row r="18" spans="1:56" s="45" customFormat="1" x14ac:dyDescent="0.25">
      <c r="A18" s="73">
        <v>23</v>
      </c>
      <c r="B18" s="73" t="s">
        <v>684</v>
      </c>
      <c r="C18" s="73" t="s">
        <v>685</v>
      </c>
      <c r="D18" s="73">
        <v>202</v>
      </c>
      <c r="E18" s="73">
        <v>30218300</v>
      </c>
      <c r="F18" s="73" t="s">
        <v>511</v>
      </c>
      <c r="G18" s="73"/>
      <c r="H18" s="73" t="s">
        <v>683</v>
      </c>
      <c r="I18" s="73">
        <v>1</v>
      </c>
      <c r="J18" s="73" t="s">
        <v>687</v>
      </c>
      <c r="K18" s="89">
        <v>9.07</v>
      </c>
      <c r="L18" s="91" t="s">
        <v>516</v>
      </c>
      <c r="M18" s="73" t="s">
        <v>688</v>
      </c>
      <c r="N18" s="73" t="s">
        <v>689</v>
      </c>
      <c r="O18" s="73"/>
      <c r="P18" s="73"/>
      <c r="Q18" s="73"/>
      <c r="R18" s="73" t="s">
        <v>512</v>
      </c>
      <c r="S18" s="73" t="s">
        <v>705</v>
      </c>
      <c r="T18" s="73" t="s">
        <v>692</v>
      </c>
      <c r="U18" s="73"/>
      <c r="V18" s="73"/>
      <c r="W18" s="73" t="s">
        <v>686</v>
      </c>
      <c r="X18" s="73"/>
      <c r="Y18" s="73" t="s">
        <v>513</v>
      </c>
      <c r="Z18" s="73" t="s">
        <v>34</v>
      </c>
      <c r="AA18" s="73" t="s">
        <v>28</v>
      </c>
      <c r="AB18" s="73" t="s">
        <v>18</v>
      </c>
      <c r="AC18" s="73">
        <v>10509</v>
      </c>
      <c r="AD18" s="73" t="s">
        <v>693</v>
      </c>
      <c r="AE18" s="73">
        <v>2509946031</v>
      </c>
      <c r="AF18" s="73" t="s">
        <v>694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686</v>
      </c>
      <c r="AZ18" s="73">
        <v>8</v>
      </c>
      <c r="BA18" s="73" t="s">
        <v>695</v>
      </c>
      <c r="BB18" s="73"/>
      <c r="BC18" s="73" t="s">
        <v>696</v>
      </c>
      <c r="BD18" s="73">
        <v>10</v>
      </c>
    </row>
    <row r="19" spans="1:56" s="45" customFormat="1" x14ac:dyDescent="0.25">
      <c r="A19" s="73">
        <v>23</v>
      </c>
      <c r="B19" s="73" t="s">
        <v>684</v>
      </c>
      <c r="C19" s="73" t="s">
        <v>685</v>
      </c>
      <c r="D19" s="73">
        <v>202</v>
      </c>
      <c r="E19" s="73">
        <v>30218300</v>
      </c>
      <c r="F19" s="73" t="s">
        <v>521</v>
      </c>
      <c r="G19" s="73"/>
      <c r="H19" s="73" t="s">
        <v>683</v>
      </c>
      <c r="I19" s="73">
        <v>1</v>
      </c>
      <c r="J19" s="73" t="s">
        <v>687</v>
      </c>
      <c r="K19" s="89">
        <v>18.14</v>
      </c>
      <c r="L19" s="91" t="s">
        <v>460</v>
      </c>
      <c r="M19" s="73" t="s">
        <v>688</v>
      </c>
      <c r="N19" s="73" t="s">
        <v>689</v>
      </c>
      <c r="O19" s="73"/>
      <c r="P19" s="73"/>
      <c r="Q19" s="73"/>
      <c r="R19" s="73" t="s">
        <v>522</v>
      </c>
      <c r="S19" s="73" t="s">
        <v>703</v>
      </c>
      <c r="T19" s="73" t="s">
        <v>692</v>
      </c>
      <c r="U19" s="73"/>
      <c r="V19" s="73"/>
      <c r="W19" s="73" t="s">
        <v>686</v>
      </c>
      <c r="X19" s="73"/>
      <c r="Y19" s="73" t="s">
        <v>523</v>
      </c>
      <c r="Z19" s="73" t="s">
        <v>36</v>
      </c>
      <c r="AA19" s="73" t="s">
        <v>37</v>
      </c>
      <c r="AB19" s="73" t="s">
        <v>18</v>
      </c>
      <c r="AC19" s="73">
        <v>10576</v>
      </c>
      <c r="AD19" s="73" t="s">
        <v>693</v>
      </c>
      <c r="AE19" s="73">
        <v>9145019397</v>
      </c>
      <c r="AF19" s="73" t="s">
        <v>694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686</v>
      </c>
      <c r="AZ19" s="73">
        <v>10</v>
      </c>
      <c r="BA19" s="73" t="s">
        <v>695</v>
      </c>
      <c r="BB19" s="73"/>
      <c r="BC19" s="73" t="s">
        <v>696</v>
      </c>
      <c r="BD19" s="73">
        <v>10</v>
      </c>
    </row>
    <row r="20" spans="1:56" s="45" customFormat="1" x14ac:dyDescent="0.25">
      <c r="A20" s="73">
        <v>23</v>
      </c>
      <c r="B20" s="73" t="s">
        <v>684</v>
      </c>
      <c r="C20" s="73" t="s">
        <v>685</v>
      </c>
      <c r="D20" s="73">
        <v>202</v>
      </c>
      <c r="E20" s="73">
        <v>30218300</v>
      </c>
      <c r="F20" s="73" t="s">
        <v>517</v>
      </c>
      <c r="G20" s="73"/>
      <c r="H20" s="73" t="s">
        <v>683</v>
      </c>
      <c r="I20" s="73">
        <v>1</v>
      </c>
      <c r="J20" s="73" t="s">
        <v>687</v>
      </c>
      <c r="K20" s="89">
        <v>22.68</v>
      </c>
      <c r="L20" s="91" t="s">
        <v>464</v>
      </c>
      <c r="M20" s="73" t="s">
        <v>688</v>
      </c>
      <c r="N20" s="73" t="s">
        <v>689</v>
      </c>
      <c r="O20" s="73"/>
      <c r="P20" s="73"/>
      <c r="Q20" s="73"/>
      <c r="R20" s="73" t="s">
        <v>518</v>
      </c>
      <c r="S20" s="73" t="s">
        <v>698</v>
      </c>
      <c r="T20" s="73" t="s">
        <v>692</v>
      </c>
      <c r="U20" s="73"/>
      <c r="V20" s="73"/>
      <c r="W20" s="73" t="s">
        <v>686</v>
      </c>
      <c r="X20" s="73"/>
      <c r="Y20" s="73" t="s">
        <v>519</v>
      </c>
      <c r="Z20" s="73" t="s">
        <v>35</v>
      </c>
      <c r="AA20" s="73" t="s">
        <v>26</v>
      </c>
      <c r="AB20" s="73" t="s">
        <v>18</v>
      </c>
      <c r="AC20" s="73">
        <v>10509</v>
      </c>
      <c r="AD20" s="73" t="s">
        <v>693</v>
      </c>
      <c r="AE20" s="73">
        <v>8457430910</v>
      </c>
      <c r="AF20" s="73" t="s">
        <v>694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686</v>
      </c>
      <c r="AZ20" s="73">
        <v>11</v>
      </c>
      <c r="BA20" s="73" t="s">
        <v>695</v>
      </c>
      <c r="BB20" s="73"/>
      <c r="BC20" s="73" t="s">
        <v>696</v>
      </c>
      <c r="BD20" s="73">
        <v>11</v>
      </c>
    </row>
    <row r="21" spans="1:56" s="45" customFormat="1" x14ac:dyDescent="0.25">
      <c r="A21" s="73">
        <v>23</v>
      </c>
      <c r="B21" s="73" t="s">
        <v>684</v>
      </c>
      <c r="C21" s="73" t="s">
        <v>685</v>
      </c>
      <c r="D21" s="73">
        <v>202</v>
      </c>
      <c r="E21" s="73">
        <v>30218300</v>
      </c>
      <c r="F21" s="73" t="s">
        <v>528</v>
      </c>
      <c r="G21" s="73"/>
      <c r="H21" s="73" t="s">
        <v>683</v>
      </c>
      <c r="I21" s="73">
        <v>1</v>
      </c>
      <c r="J21" s="73" t="s">
        <v>687</v>
      </c>
      <c r="K21" s="89">
        <v>20.41</v>
      </c>
      <c r="L21" s="91" t="s">
        <v>464</v>
      </c>
      <c r="M21" s="73" t="s">
        <v>688</v>
      </c>
      <c r="N21" s="73" t="s">
        <v>689</v>
      </c>
      <c r="O21" s="73"/>
      <c r="P21" s="73"/>
      <c r="Q21" s="73"/>
      <c r="R21" s="73" t="s">
        <v>529</v>
      </c>
      <c r="S21" s="73" t="s">
        <v>701</v>
      </c>
      <c r="T21" s="73" t="s">
        <v>692</v>
      </c>
      <c r="U21" s="73"/>
      <c r="V21" s="73"/>
      <c r="W21" s="73" t="s">
        <v>686</v>
      </c>
      <c r="X21" s="73"/>
      <c r="Y21" s="73" t="s">
        <v>530</v>
      </c>
      <c r="Z21" s="73" t="s">
        <v>40</v>
      </c>
      <c r="AA21" s="73" t="s">
        <v>39</v>
      </c>
      <c r="AB21" s="73" t="s">
        <v>18</v>
      </c>
      <c r="AC21" s="73">
        <v>10549</v>
      </c>
      <c r="AD21" s="73" t="s">
        <v>693</v>
      </c>
      <c r="AE21" s="73">
        <v>9143844226</v>
      </c>
      <c r="AF21" s="73" t="s">
        <v>694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686</v>
      </c>
      <c r="AZ21" s="73">
        <v>10</v>
      </c>
      <c r="BA21" s="73" t="s">
        <v>695</v>
      </c>
      <c r="BB21" s="73"/>
      <c r="BC21" s="73" t="s">
        <v>696</v>
      </c>
      <c r="BD21" s="73">
        <v>12</v>
      </c>
    </row>
    <row r="22" spans="1:56" s="45" customFormat="1" x14ac:dyDescent="0.25">
      <c r="A22" s="73">
        <v>23</v>
      </c>
      <c r="B22" s="73" t="s">
        <v>684</v>
      </c>
      <c r="C22" s="73" t="s">
        <v>685</v>
      </c>
      <c r="D22" s="73">
        <v>202</v>
      </c>
      <c r="E22" s="73">
        <v>30218300</v>
      </c>
      <c r="F22" s="73" t="s">
        <v>531</v>
      </c>
      <c r="G22" s="73"/>
      <c r="H22" s="73" t="s">
        <v>683</v>
      </c>
      <c r="I22" s="73">
        <v>1</v>
      </c>
      <c r="J22" s="73" t="s">
        <v>687</v>
      </c>
      <c r="K22" s="89">
        <v>20.41</v>
      </c>
      <c r="L22" s="91" t="s">
        <v>464</v>
      </c>
      <c r="M22" s="73" t="s">
        <v>688</v>
      </c>
      <c r="N22" s="73" t="s">
        <v>689</v>
      </c>
      <c r="O22" s="73"/>
      <c r="P22" s="73"/>
      <c r="Q22" s="73"/>
      <c r="R22" s="73" t="s">
        <v>532</v>
      </c>
      <c r="S22" s="73" t="s">
        <v>701</v>
      </c>
      <c r="T22" s="73" t="s">
        <v>692</v>
      </c>
      <c r="U22" s="73"/>
      <c r="V22" s="73"/>
      <c r="W22" s="73" t="s">
        <v>686</v>
      </c>
      <c r="X22" s="73"/>
      <c r="Y22" s="73" t="s">
        <v>533</v>
      </c>
      <c r="Z22" s="73" t="s">
        <v>41</v>
      </c>
      <c r="AA22" s="73" t="s">
        <v>39</v>
      </c>
      <c r="AB22" s="73" t="s">
        <v>18</v>
      </c>
      <c r="AC22" s="73">
        <v>10549</v>
      </c>
      <c r="AD22" s="73" t="s">
        <v>693</v>
      </c>
      <c r="AE22" s="73">
        <v>9143348219</v>
      </c>
      <c r="AF22" s="73" t="s">
        <v>694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686</v>
      </c>
      <c r="AZ22" s="73">
        <v>10</v>
      </c>
      <c r="BA22" s="73" t="s">
        <v>695</v>
      </c>
      <c r="BB22" s="73"/>
      <c r="BC22" s="73" t="s">
        <v>696</v>
      </c>
      <c r="BD22" s="73">
        <v>12</v>
      </c>
    </row>
    <row r="23" spans="1:56" s="45" customFormat="1" x14ac:dyDescent="0.25">
      <c r="A23" s="73">
        <v>23</v>
      </c>
      <c r="B23" s="73" t="s">
        <v>684</v>
      </c>
      <c r="C23" s="73" t="s">
        <v>685</v>
      </c>
      <c r="D23" s="73">
        <v>202</v>
      </c>
      <c r="E23" s="73">
        <v>30218300</v>
      </c>
      <c r="F23" s="73" t="s">
        <v>534</v>
      </c>
      <c r="G23" s="73"/>
      <c r="H23" s="73" t="s">
        <v>683</v>
      </c>
      <c r="I23" s="73">
        <v>1</v>
      </c>
      <c r="J23" s="73" t="s">
        <v>687</v>
      </c>
      <c r="K23" s="89">
        <v>20.41</v>
      </c>
      <c r="L23" s="91" t="s">
        <v>538</v>
      </c>
      <c r="M23" s="73" t="s">
        <v>688</v>
      </c>
      <c r="N23" s="73" t="s">
        <v>689</v>
      </c>
      <c r="O23" s="73"/>
      <c r="P23" s="73"/>
      <c r="Q23" s="73"/>
      <c r="R23" s="73" t="s">
        <v>535</v>
      </c>
      <c r="S23" s="73" t="s">
        <v>704</v>
      </c>
      <c r="T23" s="73" t="s">
        <v>692</v>
      </c>
      <c r="U23" s="73"/>
      <c r="V23" s="73"/>
      <c r="W23" s="73" t="s">
        <v>686</v>
      </c>
      <c r="X23" s="73"/>
      <c r="Y23" s="73" t="s">
        <v>536</v>
      </c>
      <c r="Z23" s="73" t="s">
        <v>42</v>
      </c>
      <c r="AA23" s="73" t="s">
        <v>28</v>
      </c>
      <c r="AB23" s="73" t="s">
        <v>18</v>
      </c>
      <c r="AC23" s="73">
        <v>10549</v>
      </c>
      <c r="AD23" s="73" t="s">
        <v>693</v>
      </c>
      <c r="AE23" s="73">
        <v>9144868076</v>
      </c>
      <c r="AF23" s="73" t="s">
        <v>694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686</v>
      </c>
      <c r="AZ23" s="73">
        <v>10</v>
      </c>
      <c r="BA23" s="73" t="s">
        <v>695</v>
      </c>
      <c r="BB23" s="73"/>
      <c r="BC23" s="73" t="s">
        <v>696</v>
      </c>
      <c r="BD23" s="73">
        <v>13</v>
      </c>
    </row>
    <row r="24" spans="1:56" s="45" customFormat="1" x14ac:dyDescent="0.25">
      <c r="A24" s="73">
        <v>23</v>
      </c>
      <c r="B24" s="73" t="s">
        <v>684</v>
      </c>
      <c r="C24" s="73" t="s">
        <v>685</v>
      </c>
      <c r="D24" s="73">
        <v>202</v>
      </c>
      <c r="E24" s="73">
        <v>30218300</v>
      </c>
      <c r="F24" s="73" t="s">
        <v>539</v>
      </c>
      <c r="G24" s="73"/>
      <c r="H24" s="73" t="s">
        <v>683</v>
      </c>
      <c r="I24" s="73">
        <v>1</v>
      </c>
      <c r="J24" s="73" t="s">
        <v>687</v>
      </c>
      <c r="K24" s="89">
        <v>15.88</v>
      </c>
      <c r="L24" s="91" t="s">
        <v>543</v>
      </c>
      <c r="M24" s="73" t="s">
        <v>688</v>
      </c>
      <c r="N24" s="73" t="s">
        <v>689</v>
      </c>
      <c r="O24" s="73"/>
      <c r="P24" s="73"/>
      <c r="Q24" s="73"/>
      <c r="R24" s="73" t="s">
        <v>540</v>
      </c>
      <c r="S24" s="73" t="s">
        <v>701</v>
      </c>
      <c r="T24" s="73" t="s">
        <v>692</v>
      </c>
      <c r="U24" s="73"/>
      <c r="V24" s="73"/>
      <c r="W24" s="73" t="s">
        <v>686</v>
      </c>
      <c r="X24" s="73"/>
      <c r="Y24" s="73" t="s">
        <v>541</v>
      </c>
      <c r="Z24" s="73" t="s">
        <v>43</v>
      </c>
      <c r="AA24" s="73" t="s">
        <v>28</v>
      </c>
      <c r="AB24" s="73" t="s">
        <v>18</v>
      </c>
      <c r="AC24" s="73">
        <v>10549</v>
      </c>
      <c r="AD24" s="73" t="s">
        <v>693</v>
      </c>
      <c r="AE24" s="73">
        <v>9145341134</v>
      </c>
      <c r="AF24" s="73" t="s">
        <v>694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686</v>
      </c>
      <c r="AZ24" s="73">
        <v>9</v>
      </c>
      <c r="BA24" s="73" t="s">
        <v>695</v>
      </c>
      <c r="BB24" s="73"/>
      <c r="BC24" s="73" t="s">
        <v>696</v>
      </c>
      <c r="BD24" s="73">
        <v>13</v>
      </c>
    </row>
    <row r="25" spans="1:56" s="45" customFormat="1" x14ac:dyDescent="0.25">
      <c r="A25" s="73">
        <v>23</v>
      </c>
      <c r="B25" s="73" t="s">
        <v>684</v>
      </c>
      <c r="C25" s="73" t="s">
        <v>685</v>
      </c>
      <c r="D25" s="73">
        <v>202</v>
      </c>
      <c r="E25" s="73">
        <v>30218300</v>
      </c>
      <c r="F25" s="73" t="s">
        <v>544</v>
      </c>
      <c r="G25" s="73"/>
      <c r="H25" s="73" t="s">
        <v>683</v>
      </c>
      <c r="I25" s="73">
        <v>1</v>
      </c>
      <c r="J25" s="73" t="s">
        <v>687</v>
      </c>
      <c r="K25" s="89">
        <v>24.95</v>
      </c>
      <c r="L25" s="91" t="s">
        <v>548</v>
      </c>
      <c r="M25" s="73" t="s">
        <v>688</v>
      </c>
      <c r="N25" s="73" t="s">
        <v>689</v>
      </c>
      <c r="O25" s="73"/>
      <c r="P25" s="73"/>
      <c r="Q25" s="73"/>
      <c r="R25" s="73" t="s">
        <v>545</v>
      </c>
      <c r="S25" s="73" t="s">
        <v>705</v>
      </c>
      <c r="T25" s="73" t="s">
        <v>692</v>
      </c>
      <c r="U25" s="73"/>
      <c r="V25" s="73"/>
      <c r="W25" s="73" t="s">
        <v>686</v>
      </c>
      <c r="X25" s="73"/>
      <c r="Y25" s="73" t="s">
        <v>546</v>
      </c>
      <c r="Z25" s="73" t="s">
        <v>44</v>
      </c>
      <c r="AA25" s="73" t="s">
        <v>28</v>
      </c>
      <c r="AB25" s="73" t="s">
        <v>18</v>
      </c>
      <c r="AC25" s="73">
        <v>10509</v>
      </c>
      <c r="AD25" s="73" t="s">
        <v>693</v>
      </c>
      <c r="AE25" s="73">
        <v>6304662845</v>
      </c>
      <c r="AF25" s="73" t="s">
        <v>694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686</v>
      </c>
      <c r="AZ25" s="73">
        <v>11</v>
      </c>
      <c r="BA25" s="73" t="s">
        <v>695</v>
      </c>
      <c r="BB25" s="73"/>
      <c r="BC25" s="73" t="s">
        <v>696</v>
      </c>
      <c r="BD25" s="73">
        <v>14</v>
      </c>
    </row>
    <row r="26" spans="1:56" s="45" customFormat="1" x14ac:dyDescent="0.25">
      <c r="A26" s="73">
        <v>23</v>
      </c>
      <c r="B26" s="73" t="s">
        <v>684</v>
      </c>
      <c r="C26" s="73" t="s">
        <v>685</v>
      </c>
      <c r="D26" s="73">
        <v>202</v>
      </c>
      <c r="E26" s="73">
        <v>30218300</v>
      </c>
      <c r="F26" s="73" t="s">
        <v>654</v>
      </c>
      <c r="G26" s="73"/>
      <c r="H26" s="73" t="s">
        <v>683</v>
      </c>
      <c r="I26" s="73">
        <v>1</v>
      </c>
      <c r="J26" s="73" t="s">
        <v>687</v>
      </c>
      <c r="K26" s="89">
        <v>20.41</v>
      </c>
      <c r="L26" s="91" t="s">
        <v>659</v>
      </c>
      <c r="M26" s="73" t="s">
        <v>688</v>
      </c>
      <c r="N26" s="73" t="s">
        <v>689</v>
      </c>
      <c r="O26" s="73"/>
      <c r="P26" s="73"/>
      <c r="Q26" s="73"/>
      <c r="R26" s="73" t="s">
        <v>655</v>
      </c>
      <c r="S26" s="73" t="s">
        <v>702</v>
      </c>
      <c r="T26" s="73" t="s">
        <v>692</v>
      </c>
      <c r="U26" s="73"/>
      <c r="V26" s="73"/>
      <c r="W26" s="73" t="s">
        <v>686</v>
      </c>
      <c r="X26" s="73"/>
      <c r="Y26" s="73" t="s">
        <v>656</v>
      </c>
      <c r="Z26" s="73" t="s">
        <v>75</v>
      </c>
      <c r="AA26" s="73" t="s">
        <v>28</v>
      </c>
      <c r="AB26" s="73" t="s">
        <v>18</v>
      </c>
      <c r="AC26" s="73">
        <v>10549</v>
      </c>
      <c r="AD26" s="73" t="s">
        <v>693</v>
      </c>
      <c r="AE26" s="73">
        <v>9143736530</v>
      </c>
      <c r="AF26" s="73" t="s">
        <v>694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686</v>
      </c>
      <c r="AZ26" s="73">
        <v>10</v>
      </c>
      <c r="BA26" s="73" t="s">
        <v>695</v>
      </c>
      <c r="BB26" s="73"/>
      <c r="BC26" s="73" t="s">
        <v>696</v>
      </c>
      <c r="BD26" s="73">
        <v>15</v>
      </c>
    </row>
    <row r="27" spans="1:56" s="45" customFormat="1" x14ac:dyDescent="0.25">
      <c r="A27" s="73">
        <v>23</v>
      </c>
      <c r="B27" s="73" t="s">
        <v>684</v>
      </c>
      <c r="C27" s="73" t="s">
        <v>685</v>
      </c>
      <c r="D27" s="73">
        <v>202</v>
      </c>
      <c r="E27" s="73">
        <v>30218300</v>
      </c>
      <c r="F27" s="73" t="s">
        <v>549</v>
      </c>
      <c r="G27" s="73"/>
      <c r="H27" s="73" t="s">
        <v>683</v>
      </c>
      <c r="I27" s="73">
        <v>1</v>
      </c>
      <c r="J27" s="73" t="s">
        <v>687</v>
      </c>
      <c r="K27" s="89">
        <v>15.88</v>
      </c>
      <c r="L27" s="91" t="s">
        <v>637</v>
      </c>
      <c r="M27" s="73" t="s">
        <v>688</v>
      </c>
      <c r="N27" s="73" t="s">
        <v>689</v>
      </c>
      <c r="O27" s="73"/>
      <c r="P27" s="73"/>
      <c r="Q27" s="73"/>
      <c r="R27" s="73" t="s">
        <v>550</v>
      </c>
      <c r="S27" s="73" t="s">
        <v>704</v>
      </c>
      <c r="T27" s="73" t="s">
        <v>692</v>
      </c>
      <c r="U27" s="73"/>
      <c r="V27" s="73"/>
      <c r="W27" s="73" t="s">
        <v>686</v>
      </c>
      <c r="X27" s="73"/>
      <c r="Y27" s="73" t="s">
        <v>551</v>
      </c>
      <c r="Z27" s="73" t="s">
        <v>45</v>
      </c>
      <c r="AA27" s="73" t="s">
        <v>28</v>
      </c>
      <c r="AB27" s="73" t="s">
        <v>18</v>
      </c>
      <c r="AC27" s="73">
        <v>10509</v>
      </c>
      <c r="AD27" s="73" t="s">
        <v>693</v>
      </c>
      <c r="AE27" s="73">
        <v>9146822219</v>
      </c>
      <c r="AF27" s="73" t="s">
        <v>694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686</v>
      </c>
      <c r="AZ27" s="73">
        <v>9</v>
      </c>
      <c r="BA27" s="73" t="s">
        <v>695</v>
      </c>
      <c r="BB27" s="73"/>
      <c r="BC27" s="73" t="s">
        <v>696</v>
      </c>
      <c r="BD27" s="73">
        <v>16</v>
      </c>
    </row>
    <row r="28" spans="1:56" s="45" customFormat="1" x14ac:dyDescent="0.25">
      <c r="A28" s="73">
        <v>23</v>
      </c>
      <c r="B28" s="73" t="s">
        <v>684</v>
      </c>
      <c r="C28" s="73" t="s">
        <v>685</v>
      </c>
      <c r="D28" s="73">
        <v>202</v>
      </c>
      <c r="E28" s="73">
        <v>30218300</v>
      </c>
      <c r="F28" s="73" t="s">
        <v>638</v>
      </c>
      <c r="G28" s="73"/>
      <c r="H28" s="73" t="s">
        <v>683</v>
      </c>
      <c r="I28" s="73">
        <v>1</v>
      </c>
      <c r="J28" s="73" t="s">
        <v>687</v>
      </c>
      <c r="K28" s="89">
        <v>31.75</v>
      </c>
      <c r="L28" s="91" t="s">
        <v>643</v>
      </c>
      <c r="M28" s="73" t="s">
        <v>688</v>
      </c>
      <c r="N28" s="73" t="s">
        <v>689</v>
      </c>
      <c r="O28" s="73"/>
      <c r="P28" s="73"/>
      <c r="Q28" s="73"/>
      <c r="R28" s="73" t="s">
        <v>639</v>
      </c>
      <c r="S28" s="73" t="s">
        <v>701</v>
      </c>
      <c r="T28" s="73" t="s">
        <v>692</v>
      </c>
      <c r="U28" s="73"/>
      <c r="V28" s="73"/>
      <c r="W28" s="73" t="s">
        <v>686</v>
      </c>
      <c r="X28" s="73"/>
      <c r="Y28" s="73" t="s">
        <v>640</v>
      </c>
      <c r="Z28" s="73" t="s">
        <v>71</v>
      </c>
      <c r="AA28" s="73" t="s">
        <v>70</v>
      </c>
      <c r="AB28" s="73" t="s">
        <v>18</v>
      </c>
      <c r="AC28" s="73">
        <v>10001</v>
      </c>
      <c r="AD28" s="73" t="s">
        <v>693</v>
      </c>
      <c r="AE28" s="73">
        <v>9144838782</v>
      </c>
      <c r="AF28" s="73" t="s">
        <v>694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686</v>
      </c>
      <c r="AZ28" s="73">
        <v>13</v>
      </c>
      <c r="BA28" s="73" t="s">
        <v>695</v>
      </c>
      <c r="BB28" s="73"/>
      <c r="BC28" s="73" t="s">
        <v>696</v>
      </c>
      <c r="BD28" s="73">
        <v>17</v>
      </c>
    </row>
    <row r="29" spans="1:56" s="45" customFormat="1" x14ac:dyDescent="0.25">
      <c r="A29" s="73">
        <v>23</v>
      </c>
      <c r="B29" s="73" t="s">
        <v>684</v>
      </c>
      <c r="C29" s="73" t="s">
        <v>685</v>
      </c>
      <c r="D29" s="73">
        <v>202</v>
      </c>
      <c r="E29" s="73">
        <v>30218300</v>
      </c>
      <c r="F29" s="73" t="s">
        <v>552</v>
      </c>
      <c r="G29" s="73"/>
      <c r="H29" s="73" t="s">
        <v>683</v>
      </c>
      <c r="I29" s="73">
        <v>1</v>
      </c>
      <c r="J29" s="73" t="s">
        <v>687</v>
      </c>
      <c r="K29" s="89">
        <v>29.48</v>
      </c>
      <c r="L29" s="91" t="s">
        <v>556</v>
      </c>
      <c r="M29" s="73" t="s">
        <v>688</v>
      </c>
      <c r="N29" s="73" t="s">
        <v>689</v>
      </c>
      <c r="O29" s="73"/>
      <c r="P29" s="73"/>
      <c r="Q29" s="73"/>
      <c r="R29" s="73" t="s">
        <v>553</v>
      </c>
      <c r="S29" s="73" t="s">
        <v>705</v>
      </c>
      <c r="T29" s="73" t="s">
        <v>692</v>
      </c>
      <c r="U29" s="73"/>
      <c r="V29" s="73"/>
      <c r="W29" s="73" t="s">
        <v>686</v>
      </c>
      <c r="X29" s="73"/>
      <c r="Y29" s="73" t="s">
        <v>554</v>
      </c>
      <c r="Z29" s="73" t="s">
        <v>46</v>
      </c>
      <c r="AA29" s="73" t="s">
        <v>28</v>
      </c>
      <c r="AB29" s="73" t="s">
        <v>18</v>
      </c>
      <c r="AC29" s="73">
        <v>10549</v>
      </c>
      <c r="AD29" s="73" t="s">
        <v>693</v>
      </c>
      <c r="AE29" s="73">
        <v>5162656835</v>
      </c>
      <c r="AF29" s="73" t="s">
        <v>694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686</v>
      </c>
      <c r="AZ29" s="73">
        <v>12</v>
      </c>
      <c r="BA29" s="73" t="s">
        <v>695</v>
      </c>
      <c r="BB29" s="73"/>
      <c r="BC29" s="73" t="s">
        <v>696</v>
      </c>
      <c r="BD29" s="73">
        <v>18</v>
      </c>
    </row>
    <row r="30" spans="1:56" s="45" customFormat="1" x14ac:dyDescent="0.25">
      <c r="A30" s="73">
        <v>23</v>
      </c>
      <c r="B30" s="73" t="s">
        <v>684</v>
      </c>
      <c r="C30" s="73" t="s">
        <v>685</v>
      </c>
      <c r="D30" s="73">
        <v>202</v>
      </c>
      <c r="E30" s="73">
        <v>30218300</v>
      </c>
      <c r="F30" s="73" t="s">
        <v>644</v>
      </c>
      <c r="G30" s="73"/>
      <c r="H30" s="73" t="s">
        <v>683</v>
      </c>
      <c r="I30" s="73">
        <v>1</v>
      </c>
      <c r="J30" s="73" t="s">
        <v>687</v>
      </c>
      <c r="K30" s="89">
        <v>15.88</v>
      </c>
      <c r="L30" s="91" t="s">
        <v>648</v>
      </c>
      <c r="M30" s="73" t="s">
        <v>688</v>
      </c>
      <c r="N30" s="73" t="s">
        <v>689</v>
      </c>
      <c r="O30" s="73"/>
      <c r="P30" s="73"/>
      <c r="Q30" s="73"/>
      <c r="R30" s="73" t="s">
        <v>645</v>
      </c>
      <c r="S30" s="73" t="s">
        <v>702</v>
      </c>
      <c r="T30" s="73" t="s">
        <v>692</v>
      </c>
      <c r="U30" s="73"/>
      <c r="V30" s="73"/>
      <c r="W30" s="73" t="s">
        <v>686</v>
      </c>
      <c r="X30" s="73"/>
      <c r="Y30" s="73" t="s">
        <v>646</v>
      </c>
      <c r="Z30" s="73" t="s">
        <v>72</v>
      </c>
      <c r="AA30" s="73" t="s">
        <v>28</v>
      </c>
      <c r="AB30" s="73" t="s">
        <v>18</v>
      </c>
      <c r="AC30" s="73">
        <v>10549</v>
      </c>
      <c r="AD30" s="73" t="s">
        <v>693</v>
      </c>
      <c r="AE30" s="73">
        <v>9143141554</v>
      </c>
      <c r="AF30" s="73" t="s">
        <v>694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686</v>
      </c>
      <c r="AZ30" s="73">
        <v>9</v>
      </c>
      <c r="BA30" s="73" t="s">
        <v>695</v>
      </c>
      <c r="BB30" s="73"/>
      <c r="BC30" s="73" t="s">
        <v>696</v>
      </c>
      <c r="BD30" s="73">
        <v>19</v>
      </c>
    </row>
    <row r="31" spans="1:56" s="45" customFormat="1" x14ac:dyDescent="0.25">
      <c r="A31" s="73">
        <v>23</v>
      </c>
      <c r="B31" s="73" t="s">
        <v>684</v>
      </c>
      <c r="C31" s="73" t="s">
        <v>685</v>
      </c>
      <c r="D31" s="73">
        <v>202</v>
      </c>
      <c r="E31" s="73">
        <v>30218300</v>
      </c>
      <c r="F31" s="73" t="s">
        <v>557</v>
      </c>
      <c r="G31" s="73"/>
      <c r="H31" s="73" t="s">
        <v>683</v>
      </c>
      <c r="I31" s="73">
        <v>1</v>
      </c>
      <c r="J31" s="73" t="s">
        <v>687</v>
      </c>
      <c r="K31" s="89">
        <v>34.020000000000003</v>
      </c>
      <c r="L31" s="91" t="s">
        <v>556</v>
      </c>
      <c r="M31" s="73" t="s">
        <v>688</v>
      </c>
      <c r="N31" s="73" t="s">
        <v>689</v>
      </c>
      <c r="O31" s="73"/>
      <c r="P31" s="73"/>
      <c r="Q31" s="73"/>
      <c r="R31" s="73" t="s">
        <v>558</v>
      </c>
      <c r="S31" s="73" t="s">
        <v>701</v>
      </c>
      <c r="T31" s="73" t="s">
        <v>692</v>
      </c>
      <c r="U31" s="73"/>
      <c r="V31" s="73"/>
      <c r="W31" s="73" t="s">
        <v>686</v>
      </c>
      <c r="X31" s="73"/>
      <c r="Y31" s="73" t="s">
        <v>559</v>
      </c>
      <c r="Z31" s="73" t="s">
        <v>47</v>
      </c>
      <c r="AA31" s="73" t="s">
        <v>28</v>
      </c>
      <c r="AB31" s="73" t="s">
        <v>18</v>
      </c>
      <c r="AC31" s="73">
        <v>10549</v>
      </c>
      <c r="AD31" s="73" t="s">
        <v>693</v>
      </c>
      <c r="AE31" s="73">
        <v>8450656925</v>
      </c>
      <c r="AF31" s="73" t="s">
        <v>694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686</v>
      </c>
      <c r="AZ31" s="73">
        <v>13</v>
      </c>
      <c r="BA31" s="73" t="s">
        <v>695</v>
      </c>
      <c r="BB31" s="73"/>
      <c r="BC31" s="73" t="s">
        <v>696</v>
      </c>
      <c r="BD31" s="73">
        <v>20</v>
      </c>
    </row>
    <row r="32" spans="1:56" s="45" customFormat="1" x14ac:dyDescent="0.25">
      <c r="A32" s="73">
        <v>23</v>
      </c>
      <c r="B32" s="73" t="s">
        <v>684</v>
      </c>
      <c r="C32" s="73" t="s">
        <v>685</v>
      </c>
      <c r="D32" s="73">
        <v>202</v>
      </c>
      <c r="E32" s="73">
        <v>30218300</v>
      </c>
      <c r="F32" s="73" t="s">
        <v>649</v>
      </c>
      <c r="G32" s="73"/>
      <c r="H32" s="73" t="s">
        <v>683</v>
      </c>
      <c r="I32" s="73">
        <v>1</v>
      </c>
      <c r="J32" s="73" t="s">
        <v>687</v>
      </c>
      <c r="K32" s="89">
        <v>31.75</v>
      </c>
      <c r="L32" s="91" t="s">
        <v>653</v>
      </c>
      <c r="M32" s="73" t="s">
        <v>688</v>
      </c>
      <c r="N32" s="73" t="s">
        <v>689</v>
      </c>
      <c r="O32" s="73"/>
      <c r="P32" s="73"/>
      <c r="Q32" s="73"/>
      <c r="R32" s="73" t="s">
        <v>650</v>
      </c>
      <c r="S32" s="73" t="s">
        <v>701</v>
      </c>
      <c r="T32" s="73" t="s">
        <v>692</v>
      </c>
      <c r="U32" s="73"/>
      <c r="V32" s="73"/>
      <c r="W32" s="73" t="s">
        <v>686</v>
      </c>
      <c r="X32" s="73"/>
      <c r="Y32" s="73" t="s">
        <v>651</v>
      </c>
      <c r="Z32" s="73" t="s">
        <v>73</v>
      </c>
      <c r="AA32" s="73" t="s">
        <v>28</v>
      </c>
      <c r="AB32" s="73" t="s">
        <v>18</v>
      </c>
      <c r="AC32" s="73">
        <v>10549</v>
      </c>
      <c r="AD32" s="73" t="s">
        <v>693</v>
      </c>
      <c r="AE32" s="73">
        <v>9144823021</v>
      </c>
      <c r="AF32" s="73" t="s">
        <v>694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686</v>
      </c>
      <c r="AZ32" s="73">
        <v>13</v>
      </c>
      <c r="BA32" s="73" t="s">
        <v>695</v>
      </c>
      <c r="BB32" s="73"/>
      <c r="BC32" s="73" t="s">
        <v>696</v>
      </c>
      <c r="BD32" s="73">
        <v>21</v>
      </c>
    </row>
    <row r="33" spans="1:56" s="46" customFormat="1" x14ac:dyDescent="0.25">
      <c r="A33" s="135">
        <v>23</v>
      </c>
      <c r="B33" s="135" t="s">
        <v>684</v>
      </c>
      <c r="C33" s="135" t="s">
        <v>685</v>
      </c>
      <c r="D33" s="135">
        <v>202</v>
      </c>
      <c r="E33" s="135">
        <v>30218300</v>
      </c>
      <c r="F33" s="135" t="s">
        <v>679</v>
      </c>
      <c r="G33" s="135"/>
      <c r="H33" s="135" t="s">
        <v>683</v>
      </c>
      <c r="I33" s="135">
        <v>1</v>
      </c>
      <c r="J33" s="135" t="s">
        <v>687</v>
      </c>
      <c r="K33" s="136">
        <v>22.68</v>
      </c>
      <c r="L33" s="137" t="s">
        <v>665</v>
      </c>
      <c r="M33" s="135" t="s">
        <v>688</v>
      </c>
      <c r="N33" s="135" t="s">
        <v>689</v>
      </c>
      <c r="O33" s="135"/>
      <c r="P33" s="135"/>
      <c r="Q33" s="135"/>
      <c r="R33" s="135" t="s">
        <v>706</v>
      </c>
      <c r="S33" s="135" t="s">
        <v>705</v>
      </c>
      <c r="T33" s="135" t="s">
        <v>692</v>
      </c>
      <c r="U33" s="135"/>
      <c r="V33" s="135"/>
      <c r="W33" s="135" t="s">
        <v>686</v>
      </c>
      <c r="X33" s="135"/>
      <c r="Y33" s="135" t="s">
        <v>681</v>
      </c>
      <c r="Z33" s="135" t="s">
        <v>74</v>
      </c>
      <c r="AA33" s="135" t="s">
        <v>28</v>
      </c>
      <c r="AB33" s="135" t="s">
        <v>18</v>
      </c>
      <c r="AC33" s="135">
        <v>10549</v>
      </c>
      <c r="AD33" s="135" t="s">
        <v>693</v>
      </c>
      <c r="AE33" s="135">
        <v>2404811771</v>
      </c>
      <c r="AF33" s="135" t="s">
        <v>694</v>
      </c>
      <c r="AG33" s="135">
        <v>21</v>
      </c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>
        <v>86</v>
      </c>
      <c r="AX33" s="135"/>
      <c r="AY33" s="135" t="s">
        <v>686</v>
      </c>
      <c r="AZ33" s="135">
        <v>11</v>
      </c>
      <c r="BA33" s="135" t="s">
        <v>695</v>
      </c>
      <c r="BB33" s="135"/>
      <c r="BC33" s="135" t="s">
        <v>696</v>
      </c>
      <c r="BD33" s="135">
        <v>22</v>
      </c>
    </row>
    <row r="34" spans="1:56" s="45" customFormat="1" x14ac:dyDescent="0.25">
      <c r="A34" s="73">
        <v>23</v>
      </c>
      <c r="B34" s="73" t="s">
        <v>684</v>
      </c>
      <c r="C34" s="73" t="s">
        <v>685</v>
      </c>
      <c r="D34" s="73">
        <v>202</v>
      </c>
      <c r="E34" s="73">
        <v>30218300</v>
      </c>
      <c r="F34" s="73" t="s">
        <v>560</v>
      </c>
      <c r="G34" s="73"/>
      <c r="H34" s="73" t="s">
        <v>683</v>
      </c>
      <c r="I34" s="73">
        <v>1</v>
      </c>
      <c r="J34" s="73" t="s">
        <v>687</v>
      </c>
      <c r="K34" s="89">
        <v>20.41</v>
      </c>
      <c r="L34" s="91" t="s">
        <v>564</v>
      </c>
      <c r="M34" s="73" t="s">
        <v>688</v>
      </c>
      <c r="N34" s="73" t="s">
        <v>689</v>
      </c>
      <c r="O34" s="73"/>
      <c r="P34" s="73"/>
      <c r="Q34" s="73"/>
      <c r="R34" s="73" t="s">
        <v>561</v>
      </c>
      <c r="S34" s="73" t="s">
        <v>704</v>
      </c>
      <c r="T34" s="73" t="s">
        <v>692</v>
      </c>
      <c r="U34" s="73"/>
      <c r="V34" s="73"/>
      <c r="W34" s="73" t="s">
        <v>686</v>
      </c>
      <c r="X34" s="73"/>
      <c r="Y34" s="73" t="s">
        <v>562</v>
      </c>
      <c r="Z34" s="73" t="s">
        <v>48</v>
      </c>
      <c r="AA34" s="73" t="s">
        <v>28</v>
      </c>
      <c r="AB34" s="73" t="s">
        <v>18</v>
      </c>
      <c r="AC34" s="73">
        <v>10549</v>
      </c>
      <c r="AD34" s="73" t="s">
        <v>693</v>
      </c>
      <c r="AE34" s="73">
        <v>2023746024</v>
      </c>
      <c r="AF34" s="73" t="s">
        <v>694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686</v>
      </c>
      <c r="AZ34" s="73">
        <v>10</v>
      </c>
      <c r="BA34" s="73" t="s">
        <v>695</v>
      </c>
      <c r="BB34" s="73"/>
      <c r="BC34" s="73" t="s">
        <v>696</v>
      </c>
      <c r="BD34" s="73">
        <v>23</v>
      </c>
    </row>
    <row r="35" spans="1:56" s="45" customFormat="1" x14ac:dyDescent="0.25">
      <c r="A35" s="73">
        <v>23</v>
      </c>
      <c r="B35" s="73" t="s">
        <v>684</v>
      </c>
      <c r="C35" s="73" t="s">
        <v>685</v>
      </c>
      <c r="D35" s="73">
        <v>202</v>
      </c>
      <c r="E35" s="73">
        <v>30218300</v>
      </c>
      <c r="F35" s="73" t="s">
        <v>565</v>
      </c>
      <c r="G35" s="73"/>
      <c r="H35" s="73" t="s">
        <v>683</v>
      </c>
      <c r="I35" s="73">
        <v>1</v>
      </c>
      <c r="J35" s="73" t="s">
        <v>687</v>
      </c>
      <c r="K35" s="89">
        <v>20.41</v>
      </c>
      <c r="L35" s="91" t="s">
        <v>569</v>
      </c>
      <c r="M35" s="73" t="s">
        <v>688</v>
      </c>
      <c r="N35" s="73" t="s">
        <v>689</v>
      </c>
      <c r="O35" s="73"/>
      <c r="P35" s="73"/>
      <c r="Q35" s="73"/>
      <c r="R35" s="73" t="s">
        <v>566</v>
      </c>
      <c r="S35" s="73" t="s">
        <v>704</v>
      </c>
      <c r="T35" s="73" t="s">
        <v>692</v>
      </c>
      <c r="U35" s="73"/>
      <c r="V35" s="73"/>
      <c r="W35" s="73" t="s">
        <v>686</v>
      </c>
      <c r="X35" s="73"/>
      <c r="Y35" s="73" t="s">
        <v>567</v>
      </c>
      <c r="Z35" s="73" t="s">
        <v>49</v>
      </c>
      <c r="AA35" s="73" t="s">
        <v>50</v>
      </c>
      <c r="AB35" s="73" t="s">
        <v>18</v>
      </c>
      <c r="AC35" s="73">
        <v>10507</v>
      </c>
      <c r="AD35" s="73" t="s">
        <v>693</v>
      </c>
      <c r="AE35" s="73">
        <v>2407196781</v>
      </c>
      <c r="AF35" s="73" t="s">
        <v>694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686</v>
      </c>
      <c r="AZ35" s="73">
        <v>10</v>
      </c>
      <c r="BA35" s="73" t="s">
        <v>695</v>
      </c>
      <c r="BB35" s="73"/>
      <c r="BC35" s="73" t="s">
        <v>696</v>
      </c>
      <c r="BD35" s="73">
        <v>23</v>
      </c>
    </row>
    <row r="36" spans="1:56" s="45" customFormat="1" x14ac:dyDescent="0.25">
      <c r="A36" s="73">
        <v>23</v>
      </c>
      <c r="B36" s="73" t="s">
        <v>684</v>
      </c>
      <c r="C36" s="73" t="s">
        <v>685</v>
      </c>
      <c r="D36" s="73">
        <v>202</v>
      </c>
      <c r="E36" s="73">
        <v>30218300</v>
      </c>
      <c r="F36" s="73" t="s">
        <v>570</v>
      </c>
      <c r="G36" s="73"/>
      <c r="H36" s="73" t="s">
        <v>683</v>
      </c>
      <c r="I36" s="73">
        <v>1</v>
      </c>
      <c r="J36" s="73" t="s">
        <v>687</v>
      </c>
      <c r="K36" s="89">
        <v>20.41</v>
      </c>
      <c r="L36" s="91" t="s">
        <v>574</v>
      </c>
      <c r="M36" s="73" t="s">
        <v>688</v>
      </c>
      <c r="N36" s="73" t="s">
        <v>689</v>
      </c>
      <c r="O36" s="73"/>
      <c r="P36" s="73"/>
      <c r="Q36" s="73"/>
      <c r="R36" s="73" t="s">
        <v>571</v>
      </c>
      <c r="S36" s="73" t="s">
        <v>700</v>
      </c>
      <c r="T36" s="73" t="s">
        <v>692</v>
      </c>
      <c r="U36" s="73"/>
      <c r="V36" s="73"/>
      <c r="W36" s="73" t="s">
        <v>686</v>
      </c>
      <c r="X36" s="73"/>
      <c r="Y36" s="73" t="s">
        <v>572</v>
      </c>
      <c r="Z36" s="73" t="s">
        <v>51</v>
      </c>
      <c r="AA36" s="73" t="s">
        <v>28</v>
      </c>
      <c r="AB36" s="73" t="s">
        <v>18</v>
      </c>
      <c r="AC36" s="73">
        <v>10549</v>
      </c>
      <c r="AD36" s="73" t="s">
        <v>693</v>
      </c>
      <c r="AE36" s="73">
        <v>2407916043</v>
      </c>
      <c r="AF36" s="73" t="s">
        <v>694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686</v>
      </c>
      <c r="AZ36" s="73">
        <v>10</v>
      </c>
      <c r="BA36" s="73" t="s">
        <v>695</v>
      </c>
      <c r="BB36" s="73"/>
      <c r="BC36" s="73" t="s">
        <v>696</v>
      </c>
      <c r="BD36" s="73">
        <v>24</v>
      </c>
    </row>
    <row r="37" spans="1:56" s="45" customFormat="1" x14ac:dyDescent="0.25">
      <c r="A37" s="73">
        <v>23</v>
      </c>
      <c r="B37" s="73" t="s">
        <v>684</v>
      </c>
      <c r="C37" s="73" t="s">
        <v>685</v>
      </c>
      <c r="D37" s="73">
        <v>202</v>
      </c>
      <c r="E37" s="73">
        <v>30218300</v>
      </c>
      <c r="F37" s="73" t="s">
        <v>575</v>
      </c>
      <c r="G37" s="73"/>
      <c r="H37" s="73" t="s">
        <v>683</v>
      </c>
      <c r="I37" s="73">
        <v>1</v>
      </c>
      <c r="J37" s="73" t="s">
        <v>687</v>
      </c>
      <c r="K37" s="89">
        <v>20.41</v>
      </c>
      <c r="L37" s="91" t="s">
        <v>579</v>
      </c>
      <c r="M37" s="73" t="s">
        <v>688</v>
      </c>
      <c r="N37" s="73" t="s">
        <v>689</v>
      </c>
      <c r="O37" s="73"/>
      <c r="P37" s="73"/>
      <c r="Q37" s="73"/>
      <c r="R37" s="73" t="s">
        <v>576</v>
      </c>
      <c r="S37" s="73" t="s">
        <v>701</v>
      </c>
      <c r="T37" s="73" t="s">
        <v>692</v>
      </c>
      <c r="U37" s="73"/>
      <c r="V37" s="73"/>
      <c r="W37" s="73" t="s">
        <v>686</v>
      </c>
      <c r="X37" s="73"/>
      <c r="Y37" s="73" t="s">
        <v>577</v>
      </c>
      <c r="Z37" s="73" t="s">
        <v>52</v>
      </c>
      <c r="AA37" s="73" t="s">
        <v>28</v>
      </c>
      <c r="AB37" s="73" t="s">
        <v>18</v>
      </c>
      <c r="AC37" s="73">
        <v>10509</v>
      </c>
      <c r="AD37" s="73" t="s">
        <v>693</v>
      </c>
      <c r="AE37" s="73">
        <v>3016722154</v>
      </c>
      <c r="AF37" s="73" t="s">
        <v>694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686</v>
      </c>
      <c r="AZ37" s="73">
        <v>10</v>
      </c>
      <c r="BA37" s="73" t="s">
        <v>695</v>
      </c>
      <c r="BB37" s="73"/>
      <c r="BC37" s="73" t="s">
        <v>696</v>
      </c>
      <c r="BD37" s="73">
        <v>24</v>
      </c>
    </row>
    <row r="38" spans="1:56" s="45" customFormat="1" x14ac:dyDescent="0.25">
      <c r="A38" s="73">
        <v>23</v>
      </c>
      <c r="B38" s="73" t="s">
        <v>684</v>
      </c>
      <c r="C38" s="73" t="s">
        <v>685</v>
      </c>
      <c r="D38" s="73">
        <v>202</v>
      </c>
      <c r="E38" s="73">
        <v>30218300</v>
      </c>
      <c r="F38" s="73" t="s">
        <v>580</v>
      </c>
      <c r="G38" s="73"/>
      <c r="H38" s="73" t="s">
        <v>683</v>
      </c>
      <c r="I38" s="73">
        <v>1</v>
      </c>
      <c r="J38" s="73" t="s">
        <v>687</v>
      </c>
      <c r="K38" s="89">
        <v>20.41</v>
      </c>
      <c r="L38" s="91" t="s">
        <v>556</v>
      </c>
      <c r="M38" s="73" t="s">
        <v>688</v>
      </c>
      <c r="N38" s="73" t="s">
        <v>689</v>
      </c>
      <c r="O38" s="73"/>
      <c r="P38" s="73"/>
      <c r="Q38" s="73"/>
      <c r="R38" s="73" t="s">
        <v>581</v>
      </c>
      <c r="S38" s="73" t="s">
        <v>691</v>
      </c>
      <c r="T38" s="73" t="s">
        <v>692</v>
      </c>
      <c r="U38" s="73"/>
      <c r="V38" s="73"/>
      <c r="W38" s="73" t="s">
        <v>686</v>
      </c>
      <c r="X38" s="73"/>
      <c r="Y38" s="73" t="s">
        <v>582</v>
      </c>
      <c r="Z38" s="73" t="s">
        <v>53</v>
      </c>
      <c r="AA38" s="73" t="s">
        <v>26</v>
      </c>
      <c r="AB38" s="73" t="s">
        <v>18</v>
      </c>
      <c r="AC38" s="73">
        <v>10509</v>
      </c>
      <c r="AD38" s="73" t="s">
        <v>693</v>
      </c>
      <c r="AE38" s="73">
        <v>3015662004</v>
      </c>
      <c r="AF38" s="73" t="s">
        <v>694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686</v>
      </c>
      <c r="AZ38" s="73">
        <v>10</v>
      </c>
      <c r="BA38" s="73" t="s">
        <v>695</v>
      </c>
      <c r="BB38" s="73"/>
      <c r="BC38" s="73" t="s">
        <v>696</v>
      </c>
      <c r="BD38" s="73">
        <v>25</v>
      </c>
    </row>
    <row r="39" spans="1:56" s="45" customFormat="1" x14ac:dyDescent="0.25">
      <c r="A39" s="73">
        <v>23</v>
      </c>
      <c r="B39" s="73" t="s">
        <v>684</v>
      </c>
      <c r="C39" s="73" t="s">
        <v>685</v>
      </c>
      <c r="D39" s="73">
        <v>202</v>
      </c>
      <c r="E39" s="73">
        <v>30218300</v>
      </c>
      <c r="F39" s="73" t="s">
        <v>583</v>
      </c>
      <c r="G39" s="73"/>
      <c r="H39" s="73" t="s">
        <v>683</v>
      </c>
      <c r="I39" s="73">
        <v>1</v>
      </c>
      <c r="J39" s="73" t="s">
        <v>687</v>
      </c>
      <c r="K39" s="89">
        <v>20.41</v>
      </c>
      <c r="L39" s="91" t="s">
        <v>587</v>
      </c>
      <c r="M39" s="73" t="s">
        <v>688</v>
      </c>
      <c r="N39" s="73" t="s">
        <v>689</v>
      </c>
      <c r="O39" s="73"/>
      <c r="P39" s="73"/>
      <c r="Q39" s="73"/>
      <c r="R39" s="73" t="s">
        <v>584</v>
      </c>
      <c r="S39" s="73" t="s">
        <v>702</v>
      </c>
      <c r="T39" s="73" t="s">
        <v>692</v>
      </c>
      <c r="U39" s="73"/>
      <c r="V39" s="73"/>
      <c r="W39" s="73" t="s">
        <v>686</v>
      </c>
      <c r="X39" s="73"/>
      <c r="Y39" s="73" t="s">
        <v>585</v>
      </c>
      <c r="Z39" s="73" t="s">
        <v>54</v>
      </c>
      <c r="AA39" s="73" t="s">
        <v>28</v>
      </c>
      <c r="AB39" s="73" t="s">
        <v>18</v>
      </c>
      <c r="AC39" s="73">
        <v>10549</v>
      </c>
      <c r="AD39" s="73" t="s">
        <v>693</v>
      </c>
      <c r="AE39" s="73">
        <v>3014816710</v>
      </c>
      <c r="AF39" s="73" t="s">
        <v>694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686</v>
      </c>
      <c r="AZ39" s="73">
        <v>10</v>
      </c>
      <c r="BA39" s="73" t="s">
        <v>695</v>
      </c>
      <c r="BB39" s="73"/>
      <c r="BC39" s="73" t="s">
        <v>696</v>
      </c>
      <c r="BD39" s="73">
        <v>26</v>
      </c>
    </row>
    <row r="40" spans="1:56" s="45" customFormat="1" x14ac:dyDescent="0.25">
      <c r="A40" s="73">
        <v>23</v>
      </c>
      <c r="B40" s="73" t="s">
        <v>684</v>
      </c>
      <c r="C40" s="73" t="s">
        <v>685</v>
      </c>
      <c r="D40" s="73">
        <v>202</v>
      </c>
      <c r="E40" s="73">
        <v>30218300</v>
      </c>
      <c r="F40" s="73" t="s">
        <v>588</v>
      </c>
      <c r="G40" s="73"/>
      <c r="H40" s="73" t="s">
        <v>683</v>
      </c>
      <c r="I40" s="73">
        <v>1</v>
      </c>
      <c r="J40" s="73" t="s">
        <v>687</v>
      </c>
      <c r="K40" s="89">
        <v>20.41</v>
      </c>
      <c r="L40" s="91" t="s">
        <v>592</v>
      </c>
      <c r="M40" s="73" t="s">
        <v>688</v>
      </c>
      <c r="N40" s="73" t="s">
        <v>689</v>
      </c>
      <c r="O40" s="73"/>
      <c r="P40" s="73"/>
      <c r="Q40" s="73"/>
      <c r="R40" s="73" t="s">
        <v>589</v>
      </c>
      <c r="S40" s="73" t="s">
        <v>691</v>
      </c>
      <c r="T40" s="73" t="s">
        <v>692</v>
      </c>
      <c r="U40" s="73"/>
      <c r="V40" s="73"/>
      <c r="W40" s="73" t="s">
        <v>686</v>
      </c>
      <c r="X40" s="73"/>
      <c r="Y40" s="73" t="s">
        <v>590</v>
      </c>
      <c r="Z40" s="73" t="s">
        <v>55</v>
      </c>
      <c r="AA40" s="73" t="s">
        <v>56</v>
      </c>
      <c r="AB40" s="73" t="s">
        <v>18</v>
      </c>
      <c r="AC40" s="73">
        <v>10536</v>
      </c>
      <c r="AD40" s="73" t="s">
        <v>693</v>
      </c>
      <c r="AE40" s="73">
        <v>2403680396</v>
      </c>
      <c r="AF40" s="73" t="s">
        <v>694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686</v>
      </c>
      <c r="AZ40" s="73">
        <v>10</v>
      </c>
      <c r="BA40" s="73" t="s">
        <v>695</v>
      </c>
      <c r="BB40" s="73"/>
      <c r="BC40" s="73" t="s">
        <v>696</v>
      </c>
      <c r="BD40" s="73">
        <v>26</v>
      </c>
    </row>
    <row r="41" spans="1:56" s="45" customFormat="1" x14ac:dyDescent="0.25">
      <c r="A41" s="73">
        <v>23</v>
      </c>
      <c r="B41" s="73" t="s">
        <v>684</v>
      </c>
      <c r="C41" s="73" t="s">
        <v>685</v>
      </c>
      <c r="D41" s="73">
        <v>202</v>
      </c>
      <c r="E41" s="73">
        <v>30218300</v>
      </c>
      <c r="F41" s="73" t="s">
        <v>596</v>
      </c>
      <c r="G41" s="73"/>
      <c r="H41" s="73" t="s">
        <v>683</v>
      </c>
      <c r="I41" s="73">
        <v>1</v>
      </c>
      <c r="J41" s="73" t="s">
        <v>687</v>
      </c>
      <c r="K41" s="89">
        <v>15.88</v>
      </c>
      <c r="L41" s="91" t="s">
        <v>600</v>
      </c>
      <c r="M41" s="73" t="s">
        <v>688</v>
      </c>
      <c r="N41" s="73" t="s">
        <v>689</v>
      </c>
      <c r="O41" s="73"/>
      <c r="P41" s="73"/>
      <c r="Q41" s="73"/>
      <c r="R41" s="73" t="s">
        <v>597</v>
      </c>
      <c r="S41" s="73" t="s">
        <v>704</v>
      </c>
      <c r="T41" s="73" t="s">
        <v>692</v>
      </c>
      <c r="U41" s="73"/>
      <c r="V41" s="73"/>
      <c r="W41" s="73" t="s">
        <v>686</v>
      </c>
      <c r="X41" s="73"/>
      <c r="Y41" s="73" t="s">
        <v>598</v>
      </c>
      <c r="Z41" s="73" t="s">
        <v>58</v>
      </c>
      <c r="AA41" s="73" t="s">
        <v>26</v>
      </c>
      <c r="AB41" s="73" t="s">
        <v>18</v>
      </c>
      <c r="AC41" s="73">
        <v>10509</v>
      </c>
      <c r="AD41" s="73" t="s">
        <v>693</v>
      </c>
      <c r="AE41" s="73">
        <v>2404269914</v>
      </c>
      <c r="AF41" s="73" t="s">
        <v>694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686</v>
      </c>
      <c r="AZ41" s="73">
        <v>9</v>
      </c>
      <c r="BA41" s="73" t="s">
        <v>695</v>
      </c>
      <c r="BB41" s="73"/>
      <c r="BC41" s="73" t="s">
        <v>696</v>
      </c>
      <c r="BD41" s="73">
        <v>27</v>
      </c>
    </row>
    <row r="42" spans="1:56" s="45" customFormat="1" x14ac:dyDescent="0.25">
      <c r="A42" s="73">
        <v>23</v>
      </c>
      <c r="B42" s="73" t="s">
        <v>684</v>
      </c>
      <c r="C42" s="73" t="s">
        <v>685</v>
      </c>
      <c r="D42" s="73">
        <v>202</v>
      </c>
      <c r="E42" s="73">
        <v>30218300</v>
      </c>
      <c r="F42" s="73" t="s">
        <v>666</v>
      </c>
      <c r="G42" s="73"/>
      <c r="H42" s="73" t="s">
        <v>683</v>
      </c>
      <c r="I42" s="73">
        <v>1</v>
      </c>
      <c r="J42" s="73" t="s">
        <v>687</v>
      </c>
      <c r="K42" s="89">
        <v>13.61</v>
      </c>
      <c r="L42" s="91" t="s">
        <v>670</v>
      </c>
      <c r="M42" s="73" t="s">
        <v>688</v>
      </c>
      <c r="N42" s="73" t="s">
        <v>689</v>
      </c>
      <c r="O42" s="73"/>
      <c r="P42" s="73"/>
      <c r="Q42" s="73"/>
      <c r="R42" s="73" t="s">
        <v>667</v>
      </c>
      <c r="S42" s="73" t="s">
        <v>701</v>
      </c>
      <c r="T42" s="73" t="s">
        <v>692</v>
      </c>
      <c r="U42" s="73"/>
      <c r="V42" s="73"/>
      <c r="W42" s="73" t="s">
        <v>686</v>
      </c>
      <c r="X42" s="73"/>
      <c r="Y42" s="73" t="s">
        <v>668</v>
      </c>
      <c r="Z42" s="73" t="s">
        <v>82</v>
      </c>
      <c r="AA42" s="73" t="s">
        <v>28</v>
      </c>
      <c r="AB42" s="73" t="s">
        <v>18</v>
      </c>
      <c r="AC42" s="73">
        <v>10549</v>
      </c>
      <c r="AD42" s="73" t="s">
        <v>693</v>
      </c>
      <c r="AE42" s="73">
        <v>2408373881</v>
      </c>
      <c r="AF42" s="73" t="s">
        <v>694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686</v>
      </c>
      <c r="AZ42" s="73">
        <v>9</v>
      </c>
      <c r="BA42" s="73" t="s">
        <v>695</v>
      </c>
      <c r="BB42" s="73"/>
      <c r="BC42" s="73" t="s">
        <v>696</v>
      </c>
      <c r="BD42" s="73">
        <v>27</v>
      </c>
    </row>
    <row r="43" spans="1:56" s="45" customFormat="1" x14ac:dyDescent="0.25">
      <c r="A43" s="73">
        <v>23</v>
      </c>
      <c r="B43" s="73" t="s">
        <v>684</v>
      </c>
      <c r="C43" s="73" t="s">
        <v>685</v>
      </c>
      <c r="D43" s="73">
        <v>202</v>
      </c>
      <c r="E43" s="73">
        <v>30218300</v>
      </c>
      <c r="F43" s="73" t="s">
        <v>601</v>
      </c>
      <c r="G43" s="73"/>
      <c r="H43" s="73" t="s">
        <v>683</v>
      </c>
      <c r="I43" s="73">
        <v>1</v>
      </c>
      <c r="J43" s="73" t="s">
        <v>687</v>
      </c>
      <c r="K43" s="89">
        <v>29.03</v>
      </c>
      <c r="L43" s="91" t="s">
        <v>605</v>
      </c>
      <c r="M43" s="73" t="s">
        <v>688</v>
      </c>
      <c r="N43" s="73" t="s">
        <v>689</v>
      </c>
      <c r="O43" s="73"/>
      <c r="P43" s="73"/>
      <c r="Q43" s="73"/>
      <c r="R43" s="73" t="s">
        <v>602</v>
      </c>
      <c r="S43" s="73" t="s">
        <v>704</v>
      </c>
      <c r="T43" s="73" t="s">
        <v>692</v>
      </c>
      <c r="U43" s="73"/>
      <c r="V43" s="73"/>
      <c r="W43" s="73" t="s">
        <v>686</v>
      </c>
      <c r="X43" s="73"/>
      <c r="Y43" s="73" t="s">
        <v>603</v>
      </c>
      <c r="Z43" s="73" t="s">
        <v>59</v>
      </c>
      <c r="AA43" s="73" t="s">
        <v>56</v>
      </c>
      <c r="AB43" s="73" t="s">
        <v>18</v>
      </c>
      <c r="AC43" s="73">
        <v>10536</v>
      </c>
      <c r="AD43" s="73" t="s">
        <v>693</v>
      </c>
      <c r="AE43" s="73">
        <v>2742659265</v>
      </c>
      <c r="AF43" s="73" t="s">
        <v>694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686</v>
      </c>
      <c r="AZ43" s="73">
        <v>12</v>
      </c>
      <c r="BA43" s="73" t="s">
        <v>695</v>
      </c>
      <c r="BB43" s="73"/>
      <c r="BC43" s="73" t="s">
        <v>696</v>
      </c>
      <c r="BD43" s="73">
        <v>28</v>
      </c>
    </row>
    <row r="44" spans="1:56" s="45" customFormat="1" x14ac:dyDescent="0.25">
      <c r="A44" s="73">
        <v>23</v>
      </c>
      <c r="B44" s="73" t="s">
        <v>684</v>
      </c>
      <c r="C44" s="73" t="s">
        <v>685</v>
      </c>
      <c r="D44" s="73">
        <v>202</v>
      </c>
      <c r="E44" s="73">
        <v>30218300</v>
      </c>
      <c r="F44" s="73" t="s">
        <v>606</v>
      </c>
      <c r="G44" s="73"/>
      <c r="H44" s="73" t="s">
        <v>683</v>
      </c>
      <c r="I44" s="73">
        <v>1</v>
      </c>
      <c r="J44" s="73" t="s">
        <v>687</v>
      </c>
      <c r="K44" s="89">
        <v>29.03</v>
      </c>
      <c r="L44" s="91" t="s">
        <v>605</v>
      </c>
      <c r="M44" s="73" t="s">
        <v>688</v>
      </c>
      <c r="N44" s="73" t="s">
        <v>689</v>
      </c>
      <c r="O44" s="73"/>
      <c r="P44" s="73"/>
      <c r="Q44" s="73"/>
      <c r="R44" s="73" t="s">
        <v>607</v>
      </c>
      <c r="S44" s="73" t="s">
        <v>704</v>
      </c>
      <c r="T44" s="73" t="s">
        <v>692</v>
      </c>
      <c r="U44" s="73"/>
      <c r="V44" s="73"/>
      <c r="W44" s="73" t="s">
        <v>686</v>
      </c>
      <c r="X44" s="73"/>
      <c r="Y44" s="73" t="s">
        <v>608</v>
      </c>
      <c r="Z44" s="73" t="s">
        <v>60</v>
      </c>
      <c r="AA44" s="73" t="s">
        <v>26</v>
      </c>
      <c r="AB44" s="73" t="s">
        <v>18</v>
      </c>
      <c r="AC44" s="73">
        <v>10509</v>
      </c>
      <c r="AD44" s="73" t="s">
        <v>693</v>
      </c>
      <c r="AE44" s="73">
        <v>8412752156</v>
      </c>
      <c r="AF44" s="73" t="s">
        <v>694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686</v>
      </c>
      <c r="AZ44" s="73">
        <v>12</v>
      </c>
      <c r="BA44" s="73" t="s">
        <v>695</v>
      </c>
      <c r="BB44" s="73"/>
      <c r="BC44" s="73" t="s">
        <v>696</v>
      </c>
      <c r="BD44" s="73">
        <v>29</v>
      </c>
    </row>
    <row r="45" spans="1:56" s="45" customFormat="1" x14ac:dyDescent="0.25">
      <c r="A45" s="73">
        <v>23</v>
      </c>
      <c r="B45" s="73" t="s">
        <v>684</v>
      </c>
      <c r="C45" s="73" t="s">
        <v>685</v>
      </c>
      <c r="D45" s="73">
        <v>202</v>
      </c>
      <c r="E45" s="73">
        <v>30218300</v>
      </c>
      <c r="F45" s="73" t="s">
        <v>609</v>
      </c>
      <c r="G45" s="73"/>
      <c r="H45" s="73" t="s">
        <v>683</v>
      </c>
      <c r="I45" s="73">
        <v>1</v>
      </c>
      <c r="J45" s="73" t="s">
        <v>687</v>
      </c>
      <c r="K45" s="89">
        <v>23.59</v>
      </c>
      <c r="L45" s="91" t="s">
        <v>605</v>
      </c>
      <c r="M45" s="73" t="s">
        <v>688</v>
      </c>
      <c r="N45" s="73" t="s">
        <v>689</v>
      </c>
      <c r="O45" s="73"/>
      <c r="P45" s="73"/>
      <c r="Q45" s="73"/>
      <c r="R45" s="73" t="s">
        <v>610</v>
      </c>
      <c r="S45" s="73" t="s">
        <v>702</v>
      </c>
      <c r="T45" s="73" t="s">
        <v>692</v>
      </c>
      <c r="U45" s="73"/>
      <c r="V45" s="73"/>
      <c r="W45" s="73" t="s">
        <v>686</v>
      </c>
      <c r="X45" s="73"/>
      <c r="Y45" s="73" t="s">
        <v>611</v>
      </c>
      <c r="Z45" s="73" t="s">
        <v>61</v>
      </c>
      <c r="AA45" s="73" t="s">
        <v>28</v>
      </c>
      <c r="AB45" s="73" t="s">
        <v>18</v>
      </c>
      <c r="AC45" s="73">
        <v>10549</v>
      </c>
      <c r="AD45" s="73" t="s">
        <v>693</v>
      </c>
      <c r="AE45" s="73">
        <v>3602077601</v>
      </c>
      <c r="AF45" s="73" t="s">
        <v>694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686</v>
      </c>
      <c r="AZ45" s="73">
        <v>11</v>
      </c>
      <c r="BA45" s="73" t="s">
        <v>695</v>
      </c>
      <c r="BB45" s="73"/>
      <c r="BC45" s="73" t="s">
        <v>696</v>
      </c>
      <c r="BD45" s="73">
        <v>30</v>
      </c>
    </row>
    <row r="46" spans="1:56" s="45" customFormat="1" x14ac:dyDescent="0.25">
      <c r="A46" s="73">
        <v>23</v>
      </c>
      <c r="B46" s="73" t="s">
        <v>684</v>
      </c>
      <c r="C46" s="73" t="s">
        <v>685</v>
      </c>
      <c r="D46" s="73">
        <v>202</v>
      </c>
      <c r="E46" s="73">
        <v>30218300</v>
      </c>
      <c r="F46" s="73" t="s">
        <v>612</v>
      </c>
      <c r="G46" s="73"/>
      <c r="H46" s="73" t="s">
        <v>683</v>
      </c>
      <c r="I46" s="73">
        <v>1</v>
      </c>
      <c r="J46" s="73" t="s">
        <v>687</v>
      </c>
      <c r="K46" s="89">
        <v>18.14</v>
      </c>
      <c r="L46" s="91" t="s">
        <v>605</v>
      </c>
      <c r="M46" s="73" t="s">
        <v>688</v>
      </c>
      <c r="N46" s="73" t="s">
        <v>689</v>
      </c>
      <c r="O46" s="73"/>
      <c r="P46" s="73"/>
      <c r="Q46" s="73"/>
      <c r="R46" s="73" t="s">
        <v>613</v>
      </c>
      <c r="S46" s="73" t="s">
        <v>702</v>
      </c>
      <c r="T46" s="73" t="s">
        <v>692</v>
      </c>
      <c r="U46" s="73"/>
      <c r="V46" s="73"/>
      <c r="W46" s="73" t="s">
        <v>686</v>
      </c>
      <c r="X46" s="73"/>
      <c r="Y46" s="73" t="s">
        <v>614</v>
      </c>
      <c r="Z46" s="73" t="s">
        <v>62</v>
      </c>
      <c r="AA46" s="73" t="s">
        <v>28</v>
      </c>
      <c r="AB46" s="73" t="s">
        <v>18</v>
      </c>
      <c r="AC46" s="73">
        <v>10549</v>
      </c>
      <c r="AD46" s="73" t="s">
        <v>693</v>
      </c>
      <c r="AE46" s="73">
        <v>6228456601</v>
      </c>
      <c r="AF46" s="73" t="s">
        <v>694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686</v>
      </c>
      <c r="AZ46" s="73">
        <v>10</v>
      </c>
      <c r="BA46" s="73" t="s">
        <v>695</v>
      </c>
      <c r="BB46" s="73"/>
      <c r="BC46" s="73" t="s">
        <v>696</v>
      </c>
      <c r="BD46" s="73">
        <v>31</v>
      </c>
    </row>
    <row r="47" spans="1:56" s="45" customFormat="1" x14ac:dyDescent="0.25">
      <c r="A47" s="73">
        <v>23</v>
      </c>
      <c r="B47" s="73" t="s">
        <v>684</v>
      </c>
      <c r="C47" s="73" t="s">
        <v>685</v>
      </c>
      <c r="D47" s="73">
        <v>202</v>
      </c>
      <c r="E47" s="73">
        <v>30218300</v>
      </c>
      <c r="F47" s="73" t="s">
        <v>615</v>
      </c>
      <c r="G47" s="73"/>
      <c r="H47" s="73" t="s">
        <v>683</v>
      </c>
      <c r="I47" s="73">
        <v>1</v>
      </c>
      <c r="J47" s="73" t="s">
        <v>687</v>
      </c>
      <c r="K47" s="89">
        <v>5.44</v>
      </c>
      <c r="L47" s="91" t="s">
        <v>605</v>
      </c>
      <c r="M47" s="73" t="s">
        <v>688</v>
      </c>
      <c r="N47" s="73" t="s">
        <v>689</v>
      </c>
      <c r="O47" s="73"/>
      <c r="P47" s="73"/>
      <c r="Q47" s="73"/>
      <c r="R47" s="73" t="s">
        <v>616</v>
      </c>
      <c r="S47" s="73" t="s">
        <v>697</v>
      </c>
      <c r="T47" s="73" t="s">
        <v>692</v>
      </c>
      <c r="U47" s="73"/>
      <c r="V47" s="73"/>
      <c r="W47" s="73" t="s">
        <v>686</v>
      </c>
      <c r="X47" s="73"/>
      <c r="Y47" s="73" t="s">
        <v>617</v>
      </c>
      <c r="Z47" s="73" t="s">
        <v>63</v>
      </c>
      <c r="AA47" s="73" t="s">
        <v>64</v>
      </c>
      <c r="AB47" s="73" t="s">
        <v>18</v>
      </c>
      <c r="AC47" s="73">
        <v>10514</v>
      </c>
      <c r="AD47" s="73" t="s">
        <v>693</v>
      </c>
      <c r="AE47" s="73">
        <v>3476984510</v>
      </c>
      <c r="AF47" s="73" t="s">
        <v>694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686</v>
      </c>
      <c r="AZ47" s="73">
        <v>7</v>
      </c>
      <c r="BA47" s="73" t="s">
        <v>695</v>
      </c>
      <c r="BB47" s="73"/>
      <c r="BC47" s="73" t="s">
        <v>696</v>
      </c>
      <c r="BD47" s="73">
        <v>32</v>
      </c>
    </row>
    <row r="48" spans="1:56" s="45" customFormat="1" x14ac:dyDescent="0.25">
      <c r="A48" s="73">
        <v>23</v>
      </c>
      <c r="B48" s="73" t="s">
        <v>684</v>
      </c>
      <c r="C48" s="73" t="s">
        <v>685</v>
      </c>
      <c r="D48" s="73">
        <v>202</v>
      </c>
      <c r="E48" s="73">
        <v>30218300</v>
      </c>
      <c r="F48" s="73" t="s">
        <v>619</v>
      </c>
      <c r="G48" s="73"/>
      <c r="H48" s="73" t="s">
        <v>683</v>
      </c>
      <c r="I48" s="73">
        <v>1</v>
      </c>
      <c r="J48" s="73" t="s">
        <v>687</v>
      </c>
      <c r="K48" s="89">
        <v>11.79</v>
      </c>
      <c r="L48" s="91" t="s">
        <v>623</v>
      </c>
      <c r="M48" s="73" t="s">
        <v>688</v>
      </c>
      <c r="N48" s="73" t="s">
        <v>689</v>
      </c>
      <c r="O48" s="73"/>
      <c r="P48" s="73"/>
      <c r="Q48" s="73"/>
      <c r="R48" s="73" t="s">
        <v>620</v>
      </c>
      <c r="S48" s="73" t="s">
        <v>705</v>
      </c>
      <c r="T48" s="73" t="s">
        <v>692</v>
      </c>
      <c r="U48" s="73"/>
      <c r="V48" s="73"/>
      <c r="W48" s="73" t="s">
        <v>686</v>
      </c>
      <c r="X48" s="73"/>
      <c r="Y48" s="73" t="s">
        <v>621</v>
      </c>
      <c r="Z48" s="73" t="s">
        <v>65</v>
      </c>
      <c r="AA48" s="73" t="s">
        <v>28</v>
      </c>
      <c r="AB48" s="73" t="s">
        <v>18</v>
      </c>
      <c r="AC48" s="73">
        <v>10549</v>
      </c>
      <c r="AD48" s="73" t="s">
        <v>693</v>
      </c>
      <c r="AE48" s="73">
        <v>5084123350</v>
      </c>
      <c r="AF48" s="73" t="s">
        <v>694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686</v>
      </c>
      <c r="AZ48" s="73">
        <v>8</v>
      </c>
      <c r="BA48" s="73" t="s">
        <v>695</v>
      </c>
      <c r="BB48" s="73"/>
      <c r="BC48" s="73" t="s">
        <v>696</v>
      </c>
      <c r="BD48" s="73">
        <v>33</v>
      </c>
    </row>
    <row r="49" spans="1:56" s="45" customFormat="1" x14ac:dyDescent="0.25">
      <c r="A49" s="73">
        <v>23</v>
      </c>
      <c r="B49" s="73" t="s">
        <v>684</v>
      </c>
      <c r="C49" s="73" t="s">
        <v>685</v>
      </c>
      <c r="D49" s="73">
        <v>202</v>
      </c>
      <c r="E49" s="73">
        <v>30218300</v>
      </c>
      <c r="F49" s="73" t="s">
        <v>624</v>
      </c>
      <c r="G49" s="73"/>
      <c r="H49" s="73" t="s">
        <v>683</v>
      </c>
      <c r="I49" s="73">
        <v>1</v>
      </c>
      <c r="J49" s="73" t="s">
        <v>687</v>
      </c>
      <c r="K49" s="89">
        <v>10.89</v>
      </c>
      <c r="L49" s="91" t="s">
        <v>623</v>
      </c>
      <c r="M49" s="73" t="s">
        <v>688</v>
      </c>
      <c r="N49" s="73" t="s">
        <v>689</v>
      </c>
      <c r="O49" s="73"/>
      <c r="P49" s="73"/>
      <c r="Q49" s="73"/>
      <c r="R49" s="73" t="s">
        <v>625</v>
      </c>
      <c r="S49" s="73" t="s">
        <v>692</v>
      </c>
      <c r="T49" s="73" t="s">
        <v>692</v>
      </c>
      <c r="U49" s="73"/>
      <c r="V49" s="73"/>
      <c r="W49" s="73" t="s">
        <v>686</v>
      </c>
      <c r="X49" s="73"/>
      <c r="Y49" s="73" t="s">
        <v>626</v>
      </c>
      <c r="Z49" s="73" t="s">
        <v>66</v>
      </c>
      <c r="AA49" s="73" t="s">
        <v>22</v>
      </c>
      <c r="AB49" s="73" t="s">
        <v>18</v>
      </c>
      <c r="AC49" s="73">
        <v>10080</v>
      </c>
      <c r="AD49" s="73" t="s">
        <v>693</v>
      </c>
      <c r="AE49" s="73">
        <v>6225190804</v>
      </c>
      <c r="AF49" s="73" t="s">
        <v>694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686</v>
      </c>
      <c r="AZ49" s="73">
        <v>8</v>
      </c>
      <c r="BA49" s="73" t="s">
        <v>695</v>
      </c>
      <c r="BB49" s="73"/>
      <c r="BC49" s="73" t="s">
        <v>696</v>
      </c>
      <c r="BD49" s="73">
        <v>34</v>
      </c>
    </row>
    <row r="50" spans="1:56" s="45" customFormat="1" x14ac:dyDescent="0.25">
      <c r="A50" s="73">
        <v>23</v>
      </c>
      <c r="B50" s="73" t="s">
        <v>684</v>
      </c>
      <c r="C50" s="73" t="s">
        <v>685</v>
      </c>
      <c r="D50" s="73">
        <v>202</v>
      </c>
      <c r="E50" s="73">
        <v>30218300</v>
      </c>
      <c r="F50" s="73" t="s">
        <v>627</v>
      </c>
      <c r="G50" s="73"/>
      <c r="H50" s="73" t="s">
        <v>683</v>
      </c>
      <c r="I50" s="73">
        <v>1</v>
      </c>
      <c r="J50" s="73" t="s">
        <v>687</v>
      </c>
      <c r="K50" s="89">
        <v>18.14</v>
      </c>
      <c r="L50" s="91" t="s">
        <v>631</v>
      </c>
      <c r="M50" s="73" t="s">
        <v>688</v>
      </c>
      <c r="N50" s="73" t="s">
        <v>689</v>
      </c>
      <c r="O50" s="73"/>
      <c r="P50" s="73"/>
      <c r="Q50" s="73"/>
      <c r="R50" s="73" t="s">
        <v>628</v>
      </c>
      <c r="S50" s="73" t="s">
        <v>702</v>
      </c>
      <c r="T50" s="73" t="s">
        <v>692</v>
      </c>
      <c r="U50" s="73"/>
      <c r="V50" s="73"/>
      <c r="W50" s="73" t="s">
        <v>686</v>
      </c>
      <c r="X50" s="73"/>
      <c r="Y50" s="73" t="s">
        <v>629</v>
      </c>
      <c r="Z50" s="73" t="s">
        <v>67</v>
      </c>
      <c r="AA50" s="73" t="s">
        <v>26</v>
      </c>
      <c r="AB50" s="73" t="s">
        <v>18</v>
      </c>
      <c r="AC50" s="73">
        <v>10509</v>
      </c>
      <c r="AD50" s="73" t="s">
        <v>693</v>
      </c>
      <c r="AE50" s="73">
        <v>6522175664</v>
      </c>
      <c r="AF50" s="73" t="s">
        <v>694</v>
      </c>
      <c r="AG50" s="73">
        <v>21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>
        <v>86</v>
      </c>
      <c r="AX50" s="73"/>
      <c r="AY50" s="73" t="s">
        <v>686</v>
      </c>
      <c r="AZ50" s="73">
        <v>10</v>
      </c>
      <c r="BA50" s="73" t="s">
        <v>695</v>
      </c>
      <c r="BB50" s="73"/>
      <c r="BC50" s="73" t="s">
        <v>696</v>
      </c>
      <c r="BD50" s="73">
        <v>35</v>
      </c>
    </row>
    <row r="51" spans="1:56" x14ac:dyDescent="0.25">
      <c r="A51" s="73">
        <v>23</v>
      </c>
      <c r="B51" s="73" t="s">
        <v>684</v>
      </c>
      <c r="C51" s="73" t="s">
        <v>685</v>
      </c>
      <c r="D51" s="73">
        <v>202</v>
      </c>
      <c r="E51" s="73">
        <v>30218300</v>
      </c>
      <c r="F51" s="73" t="s">
        <v>632</v>
      </c>
      <c r="G51" s="73"/>
      <c r="H51" s="73" t="s">
        <v>683</v>
      </c>
      <c r="I51" s="73">
        <v>1</v>
      </c>
      <c r="J51" s="73" t="s">
        <v>687</v>
      </c>
      <c r="K51" s="89">
        <v>28.58</v>
      </c>
      <c r="L51" s="91" t="s">
        <v>636</v>
      </c>
      <c r="M51" s="73" t="s">
        <v>688</v>
      </c>
      <c r="N51" s="73" t="s">
        <v>689</v>
      </c>
      <c r="O51" s="73"/>
      <c r="P51" s="73"/>
      <c r="Q51" s="73"/>
      <c r="R51" s="73" t="s">
        <v>633</v>
      </c>
      <c r="S51" s="73" t="s">
        <v>702</v>
      </c>
      <c r="T51" s="73" t="s">
        <v>692</v>
      </c>
      <c r="U51" s="73"/>
      <c r="V51" s="73"/>
      <c r="W51" s="73" t="s">
        <v>686</v>
      </c>
      <c r="X51" s="73"/>
      <c r="Y51" s="73" t="s">
        <v>634</v>
      </c>
      <c r="Z51" s="73" t="s">
        <v>68</v>
      </c>
      <c r="AA51" s="73" t="s">
        <v>28</v>
      </c>
      <c r="AB51" s="73" t="s">
        <v>18</v>
      </c>
      <c r="AC51" s="73">
        <v>10549</v>
      </c>
      <c r="AD51" s="73" t="s">
        <v>693</v>
      </c>
      <c r="AE51" s="73">
        <v>9890748410</v>
      </c>
      <c r="AF51" s="73" t="s">
        <v>694</v>
      </c>
      <c r="AG51" s="73">
        <v>21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>
        <v>86</v>
      </c>
      <c r="AX51" s="73"/>
      <c r="AY51" s="73" t="s">
        <v>686</v>
      </c>
      <c r="AZ51" s="73">
        <v>12</v>
      </c>
      <c r="BA51" s="73" t="s">
        <v>695</v>
      </c>
      <c r="BB51" s="73"/>
      <c r="BC51" s="73" t="s">
        <v>696</v>
      </c>
      <c r="BD51" s="73">
        <v>36</v>
      </c>
    </row>
    <row r="52" spans="1:56" x14ac:dyDescent="0.25">
      <c r="A52" s="73">
        <v>23</v>
      </c>
      <c r="B52" s="73" t="s">
        <v>684</v>
      </c>
      <c r="C52" s="73" t="s">
        <v>685</v>
      </c>
      <c r="D52" s="73">
        <v>202</v>
      </c>
      <c r="E52" s="73">
        <v>30218300</v>
      </c>
      <c r="F52" s="73" t="s">
        <v>662</v>
      </c>
      <c r="G52" s="73"/>
      <c r="H52" s="73" t="s">
        <v>683</v>
      </c>
      <c r="I52" s="73">
        <v>1</v>
      </c>
      <c r="J52" s="73" t="s">
        <v>687</v>
      </c>
      <c r="K52" s="89">
        <v>22.68</v>
      </c>
      <c r="L52" s="91" t="s">
        <v>665</v>
      </c>
      <c r="M52" s="73" t="s">
        <v>688</v>
      </c>
      <c r="N52" s="73" t="s">
        <v>689</v>
      </c>
      <c r="O52" s="73"/>
      <c r="P52" s="73"/>
      <c r="Q52" s="73"/>
      <c r="R52" s="73" t="s">
        <v>663</v>
      </c>
      <c r="S52" s="73" t="s">
        <v>702</v>
      </c>
      <c r="T52" s="73" t="s">
        <v>692</v>
      </c>
      <c r="U52" s="73"/>
      <c r="V52" s="73"/>
      <c r="W52" s="73" t="s">
        <v>686</v>
      </c>
      <c r="X52" s="73"/>
      <c r="Y52" s="73" t="s">
        <v>664</v>
      </c>
      <c r="Z52" s="73" t="s">
        <v>81</v>
      </c>
      <c r="AA52" s="73" t="s">
        <v>50</v>
      </c>
      <c r="AB52" s="73" t="s">
        <v>18</v>
      </c>
      <c r="AC52" s="73">
        <v>10509</v>
      </c>
      <c r="AD52" s="73" t="s">
        <v>693</v>
      </c>
      <c r="AE52" s="73">
        <v>2403055770</v>
      </c>
      <c r="AF52" s="73" t="s">
        <v>694</v>
      </c>
      <c r="AG52" s="73">
        <v>21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>
        <v>86</v>
      </c>
      <c r="AX52" s="73"/>
      <c r="AY52" s="73" t="s">
        <v>686</v>
      </c>
      <c r="AZ52" s="73">
        <v>11</v>
      </c>
      <c r="BA52" s="73" t="s">
        <v>695</v>
      </c>
      <c r="BB52" s="73"/>
      <c r="BC52" s="73" t="s">
        <v>696</v>
      </c>
      <c r="BD52" s="73">
        <v>37</v>
      </c>
    </row>
    <row r="53" spans="1:56" x14ac:dyDescent="0.25">
      <c r="A53" s="73">
        <v>23</v>
      </c>
      <c r="B53" s="73" t="s">
        <v>684</v>
      </c>
      <c r="C53" s="73" t="s">
        <v>685</v>
      </c>
      <c r="D53" s="73">
        <v>202</v>
      </c>
      <c r="E53" s="73">
        <v>30218300</v>
      </c>
      <c r="F53" s="73" t="s">
        <v>593</v>
      </c>
      <c r="G53" s="73"/>
      <c r="H53" s="73" t="s">
        <v>683</v>
      </c>
      <c r="I53" s="73">
        <v>1</v>
      </c>
      <c r="J53" s="73" t="s">
        <v>687</v>
      </c>
      <c r="K53" s="89">
        <v>20.41</v>
      </c>
      <c r="L53" s="91" t="s">
        <v>661</v>
      </c>
      <c r="M53" s="73" t="s">
        <v>688</v>
      </c>
      <c r="N53" s="73" t="s">
        <v>689</v>
      </c>
      <c r="O53" s="73"/>
      <c r="P53" s="73"/>
      <c r="Q53" s="73"/>
      <c r="R53" s="73" t="s">
        <v>594</v>
      </c>
      <c r="S53" s="73" t="s">
        <v>699</v>
      </c>
      <c r="T53" s="73" t="s">
        <v>692</v>
      </c>
      <c r="U53" s="73"/>
      <c r="V53" s="73"/>
      <c r="W53" s="73" t="s">
        <v>686</v>
      </c>
      <c r="X53" s="73"/>
      <c r="Y53" s="73" t="s">
        <v>595</v>
      </c>
      <c r="Z53" s="73" t="s">
        <v>57</v>
      </c>
      <c r="AA53" s="73" t="s">
        <v>28</v>
      </c>
      <c r="AB53" s="73" t="s">
        <v>18</v>
      </c>
      <c r="AC53" s="73">
        <v>10549</v>
      </c>
      <c r="AD53" s="73" t="s">
        <v>693</v>
      </c>
      <c r="AE53" s="73">
        <v>2456601132</v>
      </c>
      <c r="AF53" s="73" t="s">
        <v>694</v>
      </c>
      <c r="AG53" s="73">
        <v>21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>
        <v>86</v>
      </c>
      <c r="AX53" s="73"/>
      <c r="AY53" s="73" t="s">
        <v>686</v>
      </c>
      <c r="AZ53" s="73">
        <v>10</v>
      </c>
      <c r="BA53" s="73" t="s">
        <v>695</v>
      </c>
      <c r="BB53" s="73"/>
      <c r="BC53" s="73" t="s">
        <v>696</v>
      </c>
      <c r="BD53" s="73">
        <v>38</v>
      </c>
    </row>
    <row r="54" spans="1:56" x14ac:dyDescent="0.25">
      <c r="A54" s="73">
        <v>23</v>
      </c>
      <c r="B54" s="73" t="s">
        <v>684</v>
      </c>
      <c r="C54" s="73" t="s">
        <v>685</v>
      </c>
      <c r="D54" s="73">
        <v>202</v>
      </c>
      <c r="E54" s="73">
        <v>30218300</v>
      </c>
      <c r="F54" s="73" t="s">
        <v>671</v>
      </c>
      <c r="G54" s="73"/>
      <c r="H54" s="73" t="s">
        <v>683</v>
      </c>
      <c r="I54" s="73">
        <v>1</v>
      </c>
      <c r="J54" s="73" t="s">
        <v>687</v>
      </c>
      <c r="K54" s="89">
        <v>9.07</v>
      </c>
      <c r="L54" s="91" t="s">
        <v>675</v>
      </c>
      <c r="M54" s="73" t="s">
        <v>688</v>
      </c>
      <c r="N54" s="73" t="s">
        <v>689</v>
      </c>
      <c r="O54" s="73"/>
      <c r="P54" s="73"/>
      <c r="Q54" s="73"/>
      <c r="R54" s="73" t="s">
        <v>672</v>
      </c>
      <c r="S54" s="73" t="s">
        <v>702</v>
      </c>
      <c r="T54" s="73" t="s">
        <v>692</v>
      </c>
      <c r="U54" s="73"/>
      <c r="V54" s="73"/>
      <c r="W54" s="73" t="s">
        <v>686</v>
      </c>
      <c r="X54" s="73"/>
      <c r="Y54" s="73" t="s">
        <v>673</v>
      </c>
      <c r="Z54" s="73" t="s">
        <v>83</v>
      </c>
      <c r="AA54" s="73" t="s">
        <v>28</v>
      </c>
      <c r="AB54" s="73" t="s">
        <v>18</v>
      </c>
      <c r="AC54" s="73">
        <v>10549</v>
      </c>
      <c r="AD54" s="73" t="s">
        <v>693</v>
      </c>
      <c r="AE54" s="73">
        <v>5648842014</v>
      </c>
      <c r="AF54" s="73" t="s">
        <v>694</v>
      </c>
      <c r="AG54" s="73">
        <v>21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>
        <v>86</v>
      </c>
      <c r="AX54" s="73"/>
      <c r="AY54" s="73" t="s">
        <v>686</v>
      </c>
      <c r="AZ54" s="73">
        <v>8</v>
      </c>
      <c r="BA54" s="73" t="s">
        <v>695</v>
      </c>
      <c r="BB54" s="73"/>
      <c r="BC54" s="73" t="s">
        <v>696</v>
      </c>
      <c r="BD54" s="73">
        <v>39</v>
      </c>
    </row>
    <row r="55" spans="1:56" x14ac:dyDescent="0.25">
      <c r="A55" s="75">
        <v>23</v>
      </c>
      <c r="B55" s="75" t="s">
        <v>684</v>
      </c>
      <c r="C55" s="75" t="s">
        <v>685</v>
      </c>
      <c r="D55" s="75">
        <v>202</v>
      </c>
      <c r="E55" s="75">
        <v>30218300</v>
      </c>
      <c r="F55" s="75" t="s">
        <v>676</v>
      </c>
      <c r="G55" s="75"/>
      <c r="H55" s="75" t="s">
        <v>683</v>
      </c>
      <c r="I55" s="75">
        <v>1</v>
      </c>
      <c r="J55" s="75" t="s">
        <v>687</v>
      </c>
      <c r="K55" s="89">
        <v>9.07</v>
      </c>
      <c r="L55" s="91" t="s">
        <v>675</v>
      </c>
      <c r="M55" s="75" t="s">
        <v>688</v>
      </c>
      <c r="N55" s="75" t="s">
        <v>689</v>
      </c>
      <c r="O55" s="75"/>
      <c r="P55" s="75"/>
      <c r="Q55" s="75"/>
      <c r="R55" s="75" t="s">
        <v>677</v>
      </c>
      <c r="S55" s="75" t="s">
        <v>704</v>
      </c>
      <c r="T55" s="75" t="s">
        <v>692</v>
      </c>
      <c r="U55" s="75"/>
      <c r="V55" s="75"/>
      <c r="W55" s="75" t="s">
        <v>686</v>
      </c>
      <c r="X55" s="75"/>
      <c r="Y55" s="75" t="s">
        <v>678</v>
      </c>
      <c r="Z55" s="75" t="s">
        <v>84</v>
      </c>
      <c r="AA55" s="75" t="s">
        <v>28</v>
      </c>
      <c r="AB55" s="75" t="s">
        <v>18</v>
      </c>
      <c r="AC55" s="75">
        <v>10549</v>
      </c>
      <c r="AD55" s="75" t="s">
        <v>693</v>
      </c>
      <c r="AE55" s="75">
        <v>2652152201</v>
      </c>
      <c r="AF55" s="75" t="s">
        <v>694</v>
      </c>
      <c r="AG55" s="75">
        <v>21</v>
      </c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>
        <v>86</v>
      </c>
      <c r="AX55" s="75"/>
      <c r="AY55" s="75" t="s">
        <v>686</v>
      </c>
      <c r="AZ55" s="75">
        <v>8</v>
      </c>
      <c r="BA55" s="75" t="s">
        <v>695</v>
      </c>
      <c r="BB55" s="75"/>
      <c r="BC55" s="75" t="s">
        <v>696</v>
      </c>
      <c r="BD55" s="75">
        <v>39</v>
      </c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5874553928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2832520487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7998142979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4805169541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8160059515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6729332776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8792513203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1432884953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9246915719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8104569331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2287724836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7721046379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5669303621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1196624570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7292864639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8991325676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9471132613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3146050806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1844441236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3007516435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5258551261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2024-05-09T03:48:13Z</cp:lastPrinted>
  <dcterms:created xsi:type="dcterms:W3CDTF">2022-06-23T22:24:49Z</dcterms:created>
  <dcterms:modified xsi:type="dcterms:W3CDTF">2024-05-09T03:51:38Z</dcterms:modified>
</cp:coreProperties>
</file>