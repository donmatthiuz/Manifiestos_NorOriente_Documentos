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YECTO-CREADOR-DE-FACTURAS-\"/>
    </mc:Choice>
  </mc:AlternateContent>
  <bookViews>
    <workbookView xWindow="0" yWindow="0" windowWidth="16815" windowHeight="753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<sst xmlns="http://schemas.openxmlformats.org/spreadsheetml/2006/main" count="807" uniqueCount="450">
  <si>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</si>
  <si>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</si>
  <si>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</si>
  <si>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</si>
  <si>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</si>
  <si>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</si>
  <si>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</si>
  <si>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</si>
  <si>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</si>
  <si>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</si>
  <si>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</si>
  <si>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</si>
  <si>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</si>
  <si>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</si>
  <si>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</si>
  <si>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</si>
  <si>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</si>
  <si>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</si>
  <si>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</si>
  <si>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</si>
  <si>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</si>
  <si>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</si>
  <si>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</si>
  <si>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</si>
  <si>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</si>
  <si>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</si>
  <si>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</si>
  <si>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</si>
  <si>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</si>
  <si>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</si>
  <si>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</si>
  <si>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</si>
  <si>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</si>
  <si>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</si>
  <si>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</si>
  <si>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</si>
  <si>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</si>
  <si>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</si>
  <si>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</si>
  <si>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</si>
  <si>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</si>
  <si>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</si>
  <si>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</si>
  <si>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</si>
  <si>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</si>
  <si>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</si>
  <si>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</si>
  <si>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</si>
  <si>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</si>
  <si>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</si>
  <si>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</si>
  <si>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</si>
  <si>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</si>
  <si>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</si>
  <si>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</si>
  <si>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</si>
  <si>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</si>
  <si>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</si>
  <si>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</si>
  <si>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</si>
  <si>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</si>
  <si>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</si>
  <si>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</si>
  <si>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</si>
  <si>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</si>
  <si>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</si>
  <si>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</si>
  <si>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</si>
  <si>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</si>
  <si>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</si>
  <si>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</si>
  <si>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</si>
  <si>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</si>
  <si>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</si>
  <si>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</si>
  <si>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</si>
  <si>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</si>
  <si>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</si>
  <si>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</si>
  <si>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</si>
  <si>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</si>
  <si>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</si>
  <si>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</si>
  <si>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</si>
  <si>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</si>
  <si>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</si>
  <si>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</si>
  <si>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</si>
  <si>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</si>
  <si>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</si>
  <si>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</si>
  <si>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</si>
  <si>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</si>
  <si>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</si>
  <si>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</si>
  <si>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</si>
  <si>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</si>
  <si>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</si>
  <si>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</si>
  <si>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</si>
  <si>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</si>
  <si>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</si>
  <si>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</si>
  <si>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</si>
  <si>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</si>
  <si>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</si>
  <si>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</si>
  <si>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</si>
  <si>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</si>
  <si>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</si>
  <si>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</si>
  <si>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</si>
  <si>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</si>
  <si>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</si>
  <si>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</si>
  <si>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</si>
  <si>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</si>
  <si>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</si>
  <si>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</si>
  <si>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</si>
  <si>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</si>
  <si>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</si>
  <si>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</si>
  <si>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</si>
  <si>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</si>
  <si>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</si>
  <si>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</si>
  <si>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</si>
  <si>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</si>
  <si>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</si>
  <si>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</si>
  <si>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</si>
  <si>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</si>
  <si>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</si>
  <si>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</si>
  <si>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</si>
  <si>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</si>
  <si>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</si>
  <si>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</si>
  <si>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</si>
  <si>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</si>
  <si>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</si>
  <si>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</si>
  <si>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</si>
  <si>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</si>
  <si>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</si>
  <si>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</si>
  <si>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</si>
  <si>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</si>
  <si>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</si>
  <si>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</si>
  <si>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</si>
  <si>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</si>
  <si>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</si>
  <si>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</si>
  <si>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</si>
  <si>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</si>
  <si>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</si>
  <si>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</si>
  <si>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</si>
  <si>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</si>
  <si>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</si>
  <si>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</si>
  <si>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</si>
  <si>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</si>
  <si>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</si>
  <si>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</si>
  <si>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</si>
  <si>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</si>
  <si>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</si>
  <si>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</si>
  <si>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</si>
  <si>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</si>
  <si>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</si>
  <si>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</si>
  <si>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</si>
  <si>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</si>
  <si>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</si>
  <si>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</si>
  <si>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</si>
  <si>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</si>
  <si>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</si>
  <si>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</si>
  <si>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</si>
  <si>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</si>
  <si>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</si>
  <si>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</si>
  <si>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</si>
  <si>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</si>
  <si>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</si>
  <si>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</si>
  <si>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</si>
  <si>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</si>
  <si>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</si>
  <si>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</si>
  <si>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</si>
  <si>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</si>
  <si>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</si>
  <si>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</si>
  <si>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</si>
  <si>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</si>
  <si>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</si>
  <si>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</si>
  <si>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</si>
  <si>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</si>
  <si>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</si>
  <si>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</si>
  <si>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</si>
  <si>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</si>
  <si>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</si>
  <si>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</si>
  <si>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</si>
  <si>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</si>
  <si>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</si>
  <si>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</si>
  <si>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</si>
  <si>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</si>
  <si>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</si>
  <si>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</si>
  <si>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</si>
  <si>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</si>
  <si>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</si>
  <si>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</si>
  <si>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</si>
  <si>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</si>
  <si>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</si>
  <si>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</si>
  <si>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</si>
  <si>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</si>
  <si>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</si>
  <si>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</si>
  <si>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</si>
  <si>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</si>
  <si>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</si>
  <si>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</si>
  <si>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</si>
  <si>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</si>
  <si>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</si>
  <si>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</si>
  <si>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</si>
  <si>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</si>
  <si>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</si>
  <si>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</si>
  <si>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</si>
  <si>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</si>
  <si>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</si>
  <si>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</si>
  <si>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</si>
  <si>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</si>
  <si>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</si>
  <si>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</si>
  <si>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</si>
  <si>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</si>
  <si>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</si>
  <si>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</si>
  <si>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</si>
  <si>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</si>
  <si>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</si>
  <si>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</si>
  <si>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</si>
  <si>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</si>
  <si>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</si>
  <si>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</si>
  <si>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</si>
  <si>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</si>
  <si>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</si>
  <si>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</si>
  <si>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</si>
  <si>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</si>
  <si>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</si>
  <si>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</si>
  <si>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</si>
  <si>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</si>
  <si>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</si>
  <si>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</si>
  <si>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</si>
  <si>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</si>
  <si>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</si>
  <si>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</si>
  <si>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</si>
  <si>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</si>
  <si>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</si>
  <si>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</si>
  <si>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</si>
  <si>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</si>
  <si>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</si>
  <si>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</si>
  <si>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</si>
  <si>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</si>
  <si>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</si>
  <si>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</si>
  <si>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</si>
  <si>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</si>
  <si>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</si>
  <si>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</si>
  <si>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</si>
  <si>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</si>
  <si>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</si>
  <si>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</si>
  <si>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</si>
  <si>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</si>
  <si>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</si>
  <si>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</si>
  <si>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</si>
  <si>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</si>
  <si>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</si>
  <si>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</si>
  <si>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</si>
  <si>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</si>
  <si>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</si>
  <si>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</si>
  <si>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</si>
  <si>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</si>
  <si>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</si>
  <si>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</si>
  <si>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</si>
  <si>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</si>
  <si>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</si>
  <si>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</si>
  <si>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</si>
  <si>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</si>
  <si>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</si>
  <si>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</si>
  <si>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</si>
  <si>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</si>
  <si>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</si>
  <si>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</si>
  <si>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</si>
  <si>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</si>
  <si>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</si>
  <si>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</si>
  <si>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</si>
  <si>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</si>
  <si>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</si>
  <si>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</si>
  <si>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</si>
  <si>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</si>
  <si>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</si>
  <si>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</si>
  <si>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</si>
  <si>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</si>
  <si>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</si>
  <si>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</si>
  <si>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</si>
  <si>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</si>
  <si>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</si>
  <si>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</si>
  <si>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</si>
  <si>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</si>
  <si>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</si>
  <si>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</si>
  <si>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</si>
  <si>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</si>
  <si>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</si>
  <si>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</si>
  <si>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</si>
  <si>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</si>
  <si>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</si>
  <si>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</si>
  <si>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</si>
  <si>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</si>
  <si>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</si>
  <si>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</si>
  <si>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</si>
  <si>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</si>
  <si>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</si>
  <si>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</si>
  <si>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</si>
  <si>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</si>
  <si>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</si>
  <si>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</si>
  <si>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</si>
  <si>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</si>
  <si>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</si>
  <si>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</si>
  <si>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</si>
  <si>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</si>
  <si>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</si>
  <si>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</si>
  <si>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</si>
  <si>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</si>
  <si>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</si>
  <si>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</si>
  <si>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</si>
  <si>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</si>
  <si>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</si>
  <si>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</si>
  <si>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</si>
  <si>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</si>
  <si>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</si>
  <si>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</si>
  <si>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</si>
  <si>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</si>
  <si>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</si>
  <si>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</si>
  <si>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</si>
  <si>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</si>
  <si>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</si>
  <si>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</si>
  <si>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</si>
  <si>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</si>
  <si>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</si>
  <si>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</si>
  <si>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</si>
  <si>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</si>
  <si>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</si>
  <si>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</si>
  <si>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</si>
  <si>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</si>
  <si>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</si>
  <si>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</si>
  <si>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</si>
  <si>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</si>
  <si>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</si>
  <si>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</si>
  <si>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</si>
  <si>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</si>
  <si>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</si>
  <si>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</si>
  <si>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</si>
  <si>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</si>
  <si>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</si>
  <si>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</si>
  <si>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</si>
  <si>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</si>
  <si>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</si>
  <si>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</si>
  <si>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</si>
  <si>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</si>
  <si>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</si>
  <si>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</si>
  <si>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</si>
  <si>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</si>
  <si>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</si>
  <si>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</si>
  <si>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</si>
  <si>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</si>
  <si>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</si>
  <si>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</si>
  <si>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</si>
  <si>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</si>
  <si>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</si>
  <si>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</si>
  <si>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</si>
  <si>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</si>
  <si>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</si>
  <si>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VERONICA RAMOS </t>
  </si>
  <si>
    <t xml:space="preserve">JOSE ARMANDO DIAZ </t>
  </si>
  <si>
    <t xml:space="preserve">JACKELINE </t>
  </si>
  <si>
    <t>202 - 30218311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</si>
</sst>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B19" sqref="B19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96" t="s">
        <v>446</v>
      </c>
      <c r="C1" s="96"/>
      <c r="D1" s="96"/>
      <c r="E1" s="96"/>
      <c r="F1" s="2"/>
      <c r="G1" s="3">
        <v>40</v>
      </c>
      <c r="J1" s="4" t="s">
        <v>14</v>
      </c>
    </row>
    <row r="2" spans="1:26" ht="17.25" customHeight="1" x14ac:dyDescent="0.25">
      <c r="A2" s="5" t="s">
        <v>6</v>
      </c>
      <c r="B2" s="97" t="str">
        <f>VLOOKUP(I3,'Base de Datos'!J2:L195,2,FALSE)</f>
        <v>14 AVENIDA 3-25 ZONA 1</v>
      </c>
      <c r="C2" s="97"/>
      <c r="D2" s="97"/>
      <c r="E2" s="97"/>
      <c r="F2" s="104" t="str">
        <f>VLOOKUP(I3,'Base de Datos'!J2:L195,3,FALSE)</f>
        <v>QUETZALTEPEQUE - GUATEMALA</v>
      </c>
      <c r="G2" s="105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11" t="s">
        <v>447</v>
      </c>
      <c r="C3" s="111"/>
      <c r="D3" s="111"/>
      <c r="E3" s="111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3" t="str">
        <f>VLOOKUP(J3,'Base de Datos'!A2:F95,2,FALSE)</f>
        <v>70 BARKERT ST</v>
      </c>
      <c r="C4" s="103"/>
      <c r="D4" s="103" t="str">
        <f>VLOOKUP(J3,'Base de Datos'!A2:F95,3,FALSE)</f>
        <v>MOUNTKISCO</v>
      </c>
      <c r="E4" s="103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07">
        <v>2404685091</v>
      </c>
      <c r="C5" s="107"/>
      <c r="D5" s="104"/>
      <c r="E5" s="104"/>
      <c r="F5" s="17" t="s">
        <v>4</v>
      </c>
      <c r="G5" s="18">
        <f ca="1">TODAY()</f>
        <v>45427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16" t="s">
        <v>23</v>
      </c>
      <c r="B8" s="117"/>
      <c r="C8" s="122" t="s">
        <v>444</v>
      </c>
      <c r="D8" s="123"/>
      <c r="E8" s="124"/>
      <c r="F8" s="113">
        <v>32</v>
      </c>
      <c r="G8" s="109" t="s">
        <v>445</v>
      </c>
      <c r="J8" s="24"/>
      <c r="K8" s="24"/>
      <c r="L8" s="24"/>
    </row>
    <row r="9" spans="1:26" ht="15" customHeight="1" x14ac:dyDescent="0.25">
      <c r="A9" s="118"/>
      <c r="B9" s="119"/>
      <c r="C9" s="125"/>
      <c r="D9" s="126"/>
      <c r="E9" s="127"/>
      <c r="F9" s="114"/>
      <c r="G9" s="110"/>
      <c r="I9" s="25"/>
      <c r="J9" s="24"/>
      <c r="K9" s="24"/>
      <c r="L9" s="24"/>
    </row>
    <row r="10" spans="1:26" ht="15" customHeight="1" x14ac:dyDescent="0.2">
      <c r="A10" s="118"/>
      <c r="B10" s="119"/>
      <c r="C10" s="125"/>
      <c r="D10" s="126"/>
      <c r="E10" s="127"/>
      <c r="F10" s="114"/>
      <c r="G10" s="110"/>
      <c r="I10" s="26"/>
      <c r="J10" s="24"/>
      <c r="K10" s="24"/>
      <c r="L10" s="24"/>
    </row>
    <row r="11" spans="1:26" ht="15" customHeight="1" x14ac:dyDescent="0.2">
      <c r="A11" s="118"/>
      <c r="B11" s="119"/>
      <c r="C11" s="125"/>
      <c r="D11" s="126"/>
      <c r="E11" s="127"/>
      <c r="F11" s="114"/>
      <c r="G11" s="110"/>
    </row>
    <row r="12" spans="1:26" ht="27" customHeight="1" x14ac:dyDescent="0.2">
      <c r="A12" s="118"/>
      <c r="B12" s="119"/>
      <c r="C12" s="125"/>
      <c r="D12" s="126"/>
      <c r="E12" s="127"/>
      <c r="F12" s="114" t="s">
        <v>13</v>
      </c>
      <c r="G12" s="110"/>
    </row>
    <row r="13" spans="1:26" ht="25.5" customHeight="1" x14ac:dyDescent="0.35">
      <c r="A13" s="120"/>
      <c r="B13" s="121"/>
      <c r="C13" s="128"/>
      <c r="D13" s="129"/>
      <c r="E13" s="130"/>
      <c r="F13" s="115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98" t="s">
        <v>3</v>
      </c>
      <c r="B15" s="99"/>
      <c r="C15" s="100" t="s">
        <v>448</v>
      </c>
      <c r="D15" s="100"/>
      <c r="E15" s="100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112" t="s">
        <v>12</v>
      </c>
      <c r="B17" s="112"/>
      <c r="C17" s="112"/>
      <c r="D17" s="112"/>
      <c r="E17" s="112"/>
      <c r="F17" s="112"/>
      <c r="G17" s="112"/>
      <c r="H17" s="26"/>
      <c r="J17" s="108" t="s">
        <v>405</v>
      </c>
      <c r="K17" s="108"/>
      <c r="L17" s="108"/>
      <c r="M17" s="108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08"/>
      <c r="K18" s="108"/>
      <c r="L18" s="108"/>
      <c r="M18" s="108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08"/>
      <c r="K19" s="108"/>
      <c r="L19" s="108"/>
      <c r="M19" s="108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06"/>
      <c r="K21" s="106"/>
      <c r="L21" s="106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06"/>
      <c r="K22" s="106"/>
      <c r="L22" s="106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06"/>
      <c r="K23" s="106"/>
      <c r="L23" s="106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91" t="s">
        <v>320</v>
      </c>
      <c r="J26" s="92"/>
      <c r="K26" s="92"/>
      <c r="L26" s="93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94">
        <f>SUM(Gradle!D2:D1048576)</f>
        <v>0</v>
      </c>
      <c r="J27" s="94"/>
      <c r="K27" s="94"/>
      <c r="L27" s="94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95"/>
      <c r="B35" s="95"/>
      <c r="C35" s="95"/>
      <c r="D35" s="95"/>
      <c r="E35" s="95"/>
      <c r="F35" s="95"/>
      <c r="G35" s="95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/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89" zoomScaleNormal="89" workbookViewId="0">
      <selection activeCell="F1" sqref="F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449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83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83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83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84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84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84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84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84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84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84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84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84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84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84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84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84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84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84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84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84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84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84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84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84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84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84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84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84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84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84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84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84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84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84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84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84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zoomScale="89" zoomScaleNormal="89" workbookViewId="0">
      <selection activeCell="E7" sqref="E7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449</v>
      </c>
      <c r="E1" s="62"/>
      <c r="F1" s="132"/>
      <c r="G1" s="132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5" t="s">
        <v>378</v>
      </c>
      <c r="B2" s="85" t="s">
        <v>379</v>
      </c>
      <c r="C2" s="85" t="s">
        <v>380</v>
      </c>
      <c r="D2" s="86" t="s">
        <v>381</v>
      </c>
      <c r="E2" s="87" t="s">
        <v>382</v>
      </c>
      <c r="F2" s="87" t="s">
        <v>328</v>
      </c>
      <c r="G2" s="87" t="s">
        <v>329</v>
      </c>
      <c r="H2" s="87" t="s">
        <v>330</v>
      </c>
      <c r="I2" s="87" t="s">
        <v>331</v>
      </c>
      <c r="J2" s="87" t="s">
        <v>332</v>
      </c>
      <c r="K2" s="88" t="s">
        <v>333</v>
      </c>
      <c r="L2" s="87" t="s">
        <v>334</v>
      </c>
      <c r="M2" s="87" t="s">
        <v>335</v>
      </c>
      <c r="N2" s="87" t="s">
        <v>336</v>
      </c>
      <c r="O2" s="87" t="s">
        <v>337</v>
      </c>
      <c r="P2" s="87" t="s">
        <v>338</v>
      </c>
      <c r="Q2" s="87" t="s">
        <v>339</v>
      </c>
      <c r="R2" s="87" t="s">
        <v>340</v>
      </c>
      <c r="S2" s="87" t="s">
        <v>341</v>
      </c>
      <c r="T2" s="87" t="s">
        <v>342</v>
      </c>
      <c r="U2" s="87" t="s">
        <v>343</v>
      </c>
      <c r="V2" s="87" t="s">
        <v>344</v>
      </c>
      <c r="W2" s="87" t="s">
        <v>345</v>
      </c>
      <c r="X2" s="87" t="s">
        <v>346</v>
      </c>
      <c r="Y2" s="87" t="s">
        <v>347</v>
      </c>
      <c r="Z2" s="87" t="s">
        <v>348</v>
      </c>
      <c r="AA2" s="87" t="s">
        <v>349</v>
      </c>
      <c r="AB2" s="87" t="s">
        <v>350</v>
      </c>
      <c r="AC2" s="87" t="s">
        <v>351</v>
      </c>
      <c r="AD2" s="87" t="s">
        <v>352</v>
      </c>
      <c r="AE2" s="87" t="s">
        <v>353</v>
      </c>
      <c r="AF2" s="87" t="s">
        <v>354</v>
      </c>
      <c r="AG2" s="87" t="s">
        <v>355</v>
      </c>
      <c r="AH2" s="87" t="s">
        <v>356</v>
      </c>
      <c r="AI2" s="87" t="s">
        <v>357</v>
      </c>
      <c r="AJ2" s="87" t="s">
        <v>358</v>
      </c>
      <c r="AK2" s="87" t="s">
        <v>359</v>
      </c>
      <c r="AL2" s="87" t="s">
        <v>360</v>
      </c>
      <c r="AM2" s="87" t="s">
        <v>361</v>
      </c>
      <c r="AN2" s="87" t="s">
        <v>362</v>
      </c>
      <c r="AO2" s="87" t="s">
        <v>363</v>
      </c>
      <c r="AP2" s="87" t="s">
        <v>364</v>
      </c>
      <c r="AQ2" s="87" t="s">
        <v>365</v>
      </c>
      <c r="AR2" s="87" t="s">
        <v>366</v>
      </c>
      <c r="AS2" s="87" t="s">
        <v>367</v>
      </c>
      <c r="AT2" s="87" t="s">
        <v>368</v>
      </c>
      <c r="AU2" s="87" t="s">
        <v>369</v>
      </c>
      <c r="AV2" s="87" t="s">
        <v>370</v>
      </c>
      <c r="AW2" s="87" t="s">
        <v>371</v>
      </c>
      <c r="AX2" s="87" t="s">
        <v>372</v>
      </c>
      <c r="AY2" s="87" t="s">
        <v>373</v>
      </c>
      <c r="AZ2" s="89" t="s">
        <v>374</v>
      </c>
      <c r="BA2" s="87" t="s">
        <v>375</v>
      </c>
      <c r="BB2" s="87" t="s">
        <v>376</v>
      </c>
      <c r="BC2" s="87" t="s">
        <v>377</v>
      </c>
      <c r="BD2" s="87" t="s">
        <v>111</v>
      </c>
    </row>
    <row r="3" spans="1:56" s="45" customFormat="1" ht="16.5" customHeight="1" x14ac:dyDescent="0.25">
      <c r="K3" s="37"/>
      <c r="L3" s="90"/>
    </row>
    <row r="4" spans="1:56" s="45" customFormat="1" x14ac:dyDescent="0.25">
      <c r="K4" s="37"/>
      <c r="L4" s="90"/>
    </row>
    <row r="5" spans="1:56" s="45" customFormat="1" ht="15.75" customHeight="1" x14ac:dyDescent="0.25">
      <c r="K5" s="37"/>
      <c r="L5" s="90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8392649712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6171271992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8655189136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9854522961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9315782087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4852951597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8209792952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7711437737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5241096679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5150599643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9150130859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3905845642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4846234418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2312831692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4483823377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7280315639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6578143256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4805756029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7997473703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5443495582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2206942094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2023-12-28T02:44:59Z</cp:lastPrinted>
  <dcterms:created xsi:type="dcterms:W3CDTF">2022-06-23T22:24:49Z</dcterms:created>
  <dcterms:modified xsi:type="dcterms:W3CDTF">2024-05-15T17:06:40Z</dcterms:modified>
</cp:coreProperties>
</file>