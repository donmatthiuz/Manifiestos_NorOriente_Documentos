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<sst xmlns="http://schemas.openxmlformats.org/spreadsheetml/2006/main" count="2717" uniqueCount="658">
  <si>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</si>
  <si>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</si>
  <si>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</si>
  <si>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</si>
  <si>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</si>
  <si>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</si>
  <si>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</si>
  <si>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</si>
  <si>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</si>
  <si>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</si>
  <si>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</si>
  <si>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</si>
  <si>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</si>
  <si>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</si>
  <si>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</si>
  <si>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</si>
  <si>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</si>
  <si>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</si>
  <si>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</si>
  <si>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</si>
  <si>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</si>
  <si>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</si>
  <si>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</si>
  <si>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</si>
  <si>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</si>
  <si>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</si>
  <si>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</si>
  <si>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</si>
  <si>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</si>
  <si>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</si>
  <si>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</si>
  <si>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</si>
  <si>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</si>
  <si>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</si>
  <si>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</si>
  <si>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</si>
  <si>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</si>
  <si>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</si>
  <si>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</si>
  <si>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</si>
  <si>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</si>
  <si>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</si>
  <si>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</si>
  <si>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</si>
  <si>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</si>
  <si>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</si>
  <si>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</si>
  <si>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</si>
  <si>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</si>
  <si>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</si>
  <si>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</si>
  <si>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</si>
  <si>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</si>
  <si>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</si>
  <si>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</si>
  <si>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</si>
  <si>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</si>
  <si>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</si>
  <si>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</si>
  <si>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</si>
  <si>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</si>
  <si>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</si>
  <si>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</si>
  <si>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</si>
  <si>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</si>
  <si>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</si>
  <si>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</si>
  <si>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</si>
  <si>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</si>
  <si>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</si>
  <si>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</si>
  <si>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</si>
  <si>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</si>
  <si>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</si>
  <si>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</si>
  <si>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</si>
  <si>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</si>
  <si>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</si>
  <si>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</si>
  <si>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</si>
  <si>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</si>
  <si>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</si>
  <si>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</si>
  <si>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</si>
  <si>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</si>
  <si>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</si>
  <si>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</si>
  <si>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</si>
  <si>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</si>
  <si>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</si>
  <si>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</si>
  <si>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</si>
  <si>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</si>
  <si>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</si>
  <si>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</si>
  <si>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</si>
  <si>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</si>
  <si>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</si>
  <si>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</si>
  <si>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</si>
  <si>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</si>
  <si>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</si>
  <si>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</si>
  <si>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</si>
  <si>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</si>
  <si>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</si>
  <si>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</si>
  <si>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</si>
  <si>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</si>
  <si>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</si>
  <si>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</si>
  <si>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</si>
  <si>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</si>
  <si>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</si>
  <si>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</si>
  <si>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</si>
  <si>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</si>
  <si>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</si>
  <si>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</si>
  <si>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</si>
  <si>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</si>
  <si>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</si>
  <si>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</si>
  <si>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</si>
  <si>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</si>
  <si>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</si>
  <si>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</si>
  <si>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</si>
  <si>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</si>
  <si>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</si>
  <si>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</si>
  <si>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</si>
  <si>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</si>
  <si>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</si>
  <si>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</si>
  <si>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</si>
  <si>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</si>
  <si>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</si>
  <si>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</si>
  <si>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</si>
  <si>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</si>
  <si>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</si>
  <si>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</si>
  <si>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</si>
  <si>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</si>
  <si>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</si>
  <si>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</si>
  <si>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</si>
  <si>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</si>
  <si>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</si>
  <si>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</si>
  <si>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</si>
  <si>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</si>
  <si>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</si>
  <si>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</si>
  <si>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</si>
  <si>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</si>
  <si>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</si>
  <si>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</si>
  <si>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</si>
  <si>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</si>
  <si>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</si>
  <si>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</si>
  <si>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</si>
  <si>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</si>
  <si>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</si>
  <si>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</si>
  <si>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</si>
  <si>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</si>
  <si>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</si>
  <si>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</si>
  <si>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</si>
  <si>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</si>
  <si>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</si>
  <si>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</si>
  <si>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</si>
  <si>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</si>
  <si>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</si>
  <si>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</si>
  <si>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</si>
  <si>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</si>
  <si>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</si>
  <si>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</si>
  <si>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</si>
  <si>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</si>
  <si>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</si>
  <si>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</si>
  <si>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</si>
  <si>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</si>
  <si>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</si>
  <si>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</si>
  <si>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</si>
  <si>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</si>
  <si>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</si>
  <si>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</si>
  <si>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</si>
  <si>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</si>
  <si>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</si>
  <si>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</si>
  <si>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</si>
  <si>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</si>
  <si>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</si>
  <si>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</si>
  <si>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</si>
  <si>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</si>
  <si>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</si>
  <si>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</si>
  <si>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</si>
  <si>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</si>
  <si>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</si>
  <si>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</si>
  <si>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</si>
  <si>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</si>
  <si>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</si>
  <si>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</si>
  <si>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</si>
  <si>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</si>
  <si>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</si>
  <si>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</si>
  <si>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</si>
  <si>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</si>
  <si>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</si>
  <si>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</si>
  <si>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</si>
  <si>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</si>
  <si>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</si>
  <si>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</si>
  <si>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</si>
  <si>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</si>
  <si>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</si>
  <si>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</si>
  <si>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</si>
  <si>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</si>
  <si>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</si>
  <si>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</si>
  <si>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</si>
  <si>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</si>
  <si>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</si>
  <si>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</si>
  <si>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</si>
  <si>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</si>
  <si>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</si>
  <si>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</si>
  <si>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</si>
  <si>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</si>
  <si>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</si>
  <si>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</si>
  <si>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</si>
  <si>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</si>
  <si>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</si>
  <si>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</si>
  <si>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</si>
  <si>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</si>
  <si>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</si>
  <si>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</si>
  <si>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</si>
  <si>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</si>
  <si>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</si>
  <si>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</si>
  <si>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</si>
  <si>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</si>
  <si>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</si>
  <si>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</si>
  <si>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</si>
  <si>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</si>
  <si>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</si>
  <si>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</si>
  <si>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</si>
  <si>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</si>
  <si>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</si>
  <si>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</si>
  <si>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</si>
  <si>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</si>
  <si>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</si>
  <si>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</si>
  <si>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</si>
  <si>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</si>
  <si>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</si>
  <si>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</si>
  <si>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</si>
  <si>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</si>
  <si>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</si>
  <si>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</si>
  <si>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</si>
  <si>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</si>
  <si>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</si>
  <si>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</si>
  <si>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</si>
  <si>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</si>
  <si>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</si>
  <si>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</si>
  <si>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</si>
  <si>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</si>
  <si>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</si>
  <si>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</si>
  <si>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</si>
  <si>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</si>
  <si>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</si>
  <si>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</si>
  <si>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</si>
  <si>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</si>
  <si>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</si>
  <si>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</si>
  <si>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</si>
  <si>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</si>
  <si>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</si>
  <si>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</si>
  <si>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</si>
  <si>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</si>
  <si>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</si>
  <si>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</si>
  <si>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</si>
  <si>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</si>
  <si>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</si>
  <si>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</si>
  <si>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</si>
  <si>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</si>
  <si>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</si>
  <si>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</si>
  <si>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</si>
  <si>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</si>
  <si>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</si>
  <si>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</si>
  <si>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</si>
  <si>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</si>
  <si>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</si>
  <si>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</si>
  <si>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</si>
  <si>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</si>
  <si>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</si>
  <si>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</si>
  <si>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</si>
  <si>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</si>
  <si>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</si>
  <si>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</si>
  <si>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</si>
  <si>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</si>
  <si>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</si>
  <si>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</si>
  <si>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</si>
  <si>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</si>
  <si>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</si>
  <si>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</si>
  <si>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</si>
  <si>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</si>
  <si>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</si>
  <si>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</si>
  <si>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</si>
  <si>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</si>
  <si>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</si>
  <si>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</si>
  <si>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</si>
  <si>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</si>
  <si>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</si>
  <si>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</si>
  <si>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</si>
  <si>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</si>
  <si>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</si>
  <si>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</si>
  <si>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</si>
  <si>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</si>
  <si>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</si>
  <si>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</si>
  <si>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</si>
  <si>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</si>
  <si>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</si>
  <si>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</si>
  <si>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</si>
  <si>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</si>
  <si>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</si>
  <si>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</si>
  <si>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</si>
  <si>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</si>
  <si>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</si>
  <si>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</si>
  <si>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</si>
  <si>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</si>
  <si>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</si>
  <si>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</si>
  <si>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</si>
  <si>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</si>
  <si>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</si>
  <si>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</si>
  <si>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</si>
  <si>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</si>
  <si>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</si>
  <si>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</si>
  <si>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</si>
  <si>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</si>
  <si>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</si>
  <si>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</si>
  <si>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</si>
  <si>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</si>
  <si>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</si>
  <si>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</si>
  <si>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</si>
  <si>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</si>
  <si>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</si>
  <si>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</si>
  <si>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</si>
  <si>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</si>
  <si>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</si>
  <si>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</si>
  <si>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</si>
  <si>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</si>
  <si>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</si>
  <si>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</si>
  <si>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</si>
  <si>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</si>
  <si>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</si>
  <si>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</si>
  <si>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</si>
  <si>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</si>
  <si>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</si>
  <si>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</si>
  <si>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</si>
  <si>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</si>
  <si>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</si>
  <si>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</si>
  <si>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</si>
  <si>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</si>
  <si>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</si>
  <si>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</si>
  <si>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</si>
  <si>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</si>
  <si>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</si>
  <si>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</si>
  <si>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</si>
  <si>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202 - 30179155</t>
  </si>
  <si>
    <t>134M</t>
  </si>
  <si>
    <t xml:space="preserve">MARIA VILLEDA </t>
  </si>
  <si>
    <t xml:space="preserve">EDWIN CALDERON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</si>
  <si>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</si>
  <si>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</si>
  <si>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</si>
  <si>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</si>
  <si>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</si>
  <si>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</si>
  <si>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</si>
  <si>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</si>
  <si>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</si>
  <si>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</si>
  <si>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</si>
  <si>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</si>
  <si>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</si>
  <si>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</si>
  <si>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</si>
  <si>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</si>
  <si>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CHEESE,PRESERVE,COOKED VEGETABLES </t>
  </si>
  <si>
    <t>156M</t>
  </si>
  <si>
    <t xml:space="preserve">CARLOS AMILCAR MARTINEZ </t>
  </si>
  <si>
    <t xml:space="preserve">MATEO RODOLFO MORALES </t>
  </si>
  <si>
    <t xml:space="preserve">ROSARIO </t>
  </si>
  <si>
    <t>460M</t>
  </si>
  <si>
    <t xml:space="preserve">ARMINDA CARPIO </t>
  </si>
  <si>
    <t xml:space="preserve">OSCAR CARDONA </t>
  </si>
  <si>
    <t xml:space="preserve">EVELYN </t>
  </si>
  <si>
    <t xml:space="preserve">CHEESE,PRESERVE,COOKED VEGETABLES,NATURAL MEDICINE </t>
  </si>
  <si>
    <t>505M</t>
  </si>
  <si>
    <t xml:space="preserve">MARGARITA LEMUS </t>
  </si>
  <si>
    <t xml:space="preserve">EDVIN LEMUS </t>
  </si>
  <si>
    <t xml:space="preserve">NATALY </t>
  </si>
  <si>
    <t xml:space="preserve">CHEESE,CANDYS,PRESERVE,COOKED VEGETABLES </t>
  </si>
  <si>
    <t>511M</t>
  </si>
  <si>
    <t xml:space="preserve">ROMELIA ALARCON </t>
  </si>
  <si>
    <t xml:space="preserve">MARIA ESTER PINTO </t>
  </si>
  <si>
    <t xml:space="preserve">NORA </t>
  </si>
  <si>
    <t>525M</t>
  </si>
  <si>
    <t xml:space="preserve">ALBA OSORIO </t>
  </si>
  <si>
    <t xml:space="preserve">KAREN OSORIO </t>
  </si>
  <si>
    <t xml:space="preserve">YESSIKA </t>
  </si>
  <si>
    <t xml:space="preserve">CHEESE,CONDIMENTS,COOKED VEGETABLES </t>
  </si>
  <si>
    <t>005M</t>
  </si>
  <si>
    <t xml:space="preserve">FLORINDA LEIVA </t>
  </si>
  <si>
    <t xml:space="preserve">SAIDA LEIVA </t>
  </si>
  <si>
    <t xml:space="preserve">NORMA </t>
  </si>
  <si>
    <t>CHEESE,PRESERVE,COOKED VEGETABLES</t>
  </si>
  <si>
    <t>012M</t>
  </si>
  <si>
    <t xml:space="preserve">SULI DIAZ </t>
  </si>
  <si>
    <t xml:space="preserve">JOSE LUIS DIAZ </t>
  </si>
  <si>
    <t xml:space="preserve">LORENA </t>
  </si>
  <si>
    <t xml:space="preserve">BREAD,QUSO,COOKED VEGETABLES </t>
  </si>
  <si>
    <t>319M</t>
  </si>
  <si>
    <t xml:space="preserve">MARCELINA BERGANZA </t>
  </si>
  <si>
    <t xml:space="preserve">FREDY ESCOBAR </t>
  </si>
  <si>
    <t xml:space="preserve">CLEMENCIA </t>
  </si>
  <si>
    <t xml:space="preserve">CHEESE,CANDYS,COOKED VEGETABLES,NATURAL MEDICINE </t>
  </si>
  <si>
    <t>452M</t>
  </si>
  <si>
    <t xml:space="preserve">AIDA LOPEZ </t>
  </si>
  <si>
    <t xml:space="preserve">REYNA MARTINEZ </t>
  </si>
  <si>
    <t xml:space="preserve">MARIA </t>
  </si>
  <si>
    <t>BREAD,CHEESE,PRESERVE,COOKED VEGETABLES</t>
  </si>
  <si>
    <t>124M</t>
  </si>
  <si>
    <t xml:space="preserve">ROSA HERLIDA MENENDEZ </t>
  </si>
  <si>
    <t xml:space="preserve">RUBEN ARAGON </t>
  </si>
  <si>
    <t>BREAD,CHEESE,COOKED VEGETABLES</t>
  </si>
  <si>
    <t>169M</t>
  </si>
  <si>
    <t xml:space="preserve">MARLENY URRUTIA </t>
  </si>
  <si>
    <t xml:space="preserve">EFRAIN URRUTIA </t>
  </si>
  <si>
    <t>BREAD,CHEESE,PRESERVE,TAMALITOS,COOKED VEGETABLES</t>
  </si>
  <si>
    <t>142M</t>
  </si>
  <si>
    <t xml:space="preserve">YONI LOPEZ </t>
  </si>
  <si>
    <t xml:space="preserve">ESDRAS LOPEZ </t>
  </si>
  <si>
    <t xml:space="preserve">BREAD,CHEESE,PRESERVE,COOKED VEGETABLES </t>
  </si>
  <si>
    <t>025M</t>
  </si>
  <si>
    <t xml:space="preserve">MARCELA MARTINEZ </t>
  </si>
  <si>
    <t xml:space="preserve">MAURICIO LOPEZ MARTINEZ </t>
  </si>
  <si>
    <t xml:space="preserve">DAVID </t>
  </si>
  <si>
    <t xml:space="preserve">CHEESE </t>
  </si>
  <si>
    <t>017M</t>
  </si>
  <si>
    <t xml:space="preserve">MARLON MOSCOSO </t>
  </si>
  <si>
    <t xml:space="preserve">LANDY YANES </t>
  </si>
  <si>
    <t>402K</t>
  </si>
  <si>
    <t xml:space="preserve">BERTA JIMENEZ </t>
  </si>
  <si>
    <t xml:space="preserve">SERGIO JIMENEZ </t>
  </si>
  <si>
    <t>209K</t>
  </si>
  <si>
    <t xml:space="preserve">MEYRA VELASQUEZ </t>
  </si>
  <si>
    <t xml:space="preserve">MILVIA VELASQUEZ </t>
  </si>
  <si>
    <t>1000A</t>
  </si>
  <si>
    <t xml:space="preserve">AMELIA RODRIGUEZ </t>
  </si>
  <si>
    <t xml:space="preserve">JOSE RODRIGUEZ </t>
  </si>
  <si>
    <t xml:space="preserve">LILY </t>
  </si>
  <si>
    <t>CHEESE</t>
  </si>
  <si>
    <t>226B</t>
  </si>
  <si>
    <t xml:space="preserve">FULVIA SAGASTUME </t>
  </si>
  <si>
    <t xml:space="preserve">VERONICA SAGASTUME </t>
  </si>
  <si>
    <t>IPALA</t>
  </si>
  <si>
    <t>030M</t>
  </si>
  <si>
    <t xml:space="preserve">DAYANA POLANCO </t>
  </si>
  <si>
    <t>ANGIE POLANCO RUIZ</t>
  </si>
  <si>
    <t xml:space="preserve">BREAD </t>
  </si>
  <si>
    <t>031M</t>
  </si>
  <si>
    <t xml:space="preserve">ALEJADRO REYES </t>
  </si>
  <si>
    <t xml:space="preserve">ALBA REYES RODRIGUEZ </t>
  </si>
  <si>
    <t>032M</t>
  </si>
  <si>
    <t xml:space="preserve">ALBERTO RODAS </t>
  </si>
  <si>
    <t xml:space="preserve">ALEX RODAS SANCHEZ </t>
  </si>
  <si>
    <t>033M</t>
  </si>
  <si>
    <t xml:space="preserve">ENRIQUE CORTES </t>
  </si>
  <si>
    <t xml:space="preserve">KARLA CORTES </t>
  </si>
  <si>
    <t>034M</t>
  </si>
  <si>
    <t xml:space="preserve">CATALINA CRUZ </t>
  </si>
  <si>
    <t xml:space="preserve">CARLOS CRUZ </t>
  </si>
  <si>
    <t>BREAD</t>
  </si>
  <si>
    <t>035M</t>
  </si>
  <si>
    <t xml:space="preserve">FELIPE VILLEDA </t>
  </si>
  <si>
    <t xml:space="preserve">LINA GOMEZ </t>
  </si>
  <si>
    <t>036M</t>
  </si>
  <si>
    <t xml:space="preserve">IVONNE DIAZ </t>
  </si>
  <si>
    <t xml:space="preserve">PATRICIA DIAZ MONROY </t>
  </si>
  <si>
    <t xml:space="preserve">BREAD,CHIPS </t>
  </si>
  <si>
    <t>037M</t>
  </si>
  <si>
    <t xml:space="preserve">TANIA ORTEGA </t>
  </si>
  <si>
    <t xml:space="preserve">FERNANDO ORTEGA DIAZ </t>
  </si>
  <si>
    <t>038M</t>
  </si>
  <si>
    <t xml:space="preserve">NATALIA LOPEZ </t>
  </si>
  <si>
    <t xml:space="preserve">JUAN LOPEZ GUZMAN </t>
  </si>
  <si>
    <t>039M</t>
  </si>
  <si>
    <t xml:space="preserve">LORENA OVALLE </t>
  </si>
  <si>
    <t xml:space="preserve">OSCAR OVALLE LEMUS </t>
  </si>
  <si>
    <t xml:space="preserve">PEANUTS </t>
  </si>
  <si>
    <t>040M</t>
  </si>
  <si>
    <t xml:space="preserve">CARMEN DE LA CRUZ </t>
  </si>
  <si>
    <t xml:space="preserve">CESAR RAMIREZ </t>
  </si>
  <si>
    <t xml:space="preserve">PRESERVE </t>
  </si>
  <si>
    <t>205M</t>
  </si>
  <si>
    <t>GLORIA SANTOS</t>
  </si>
  <si>
    <t xml:space="preserve">ROSA MENDOZA </t>
  </si>
  <si>
    <t>CLOTHES,SHOES,ACCESORIES,ADORNOS,CANDYS,PEANUTS,CIGARRETTES</t>
  </si>
  <si>
    <t>03M</t>
  </si>
  <si>
    <t xml:space="preserve">LILY AQUINO </t>
  </si>
  <si>
    <t xml:space="preserve">KENNY VALDEZ </t>
  </si>
  <si>
    <t xml:space="preserve">CLOTHES,ACCESORIES </t>
  </si>
  <si>
    <t>04M</t>
  </si>
  <si>
    <t xml:space="preserve">AURA AQUINO </t>
  </si>
  <si>
    <t xml:space="preserve">MISHEL VALDEZ </t>
  </si>
  <si>
    <t>444M</t>
  </si>
  <si>
    <t xml:space="preserve">YANIRA MARROQUIN </t>
  </si>
  <si>
    <t xml:space="preserve">WALTER MARROQUIN </t>
  </si>
  <si>
    <t>LORENA</t>
  </si>
  <si>
    <t xml:space="preserve">BREAD,HONEY,CONDIMENTS </t>
  </si>
  <si>
    <t>145M</t>
  </si>
  <si>
    <t xml:space="preserve">MARIA DE LA CRUZ </t>
  </si>
  <si>
    <t xml:space="preserve">WEND DE LA CRUZ </t>
  </si>
  <si>
    <t>BREAD,CANDYS,PRESERVE,PEANUTS</t>
  </si>
  <si>
    <t>413M</t>
  </si>
  <si>
    <t xml:space="preserve">MARIA MIRANDA </t>
  </si>
  <si>
    <t xml:space="preserve">ALEXISGONZALES </t>
  </si>
  <si>
    <t xml:space="preserve">BREAD,CONDIMENTS,HONEY,CHIPS,CLOTHES </t>
  </si>
  <si>
    <t>522M</t>
  </si>
  <si>
    <t xml:space="preserve">ORALIA REYES </t>
  </si>
  <si>
    <t xml:space="preserve">JOSE VICTOR REYES </t>
  </si>
  <si>
    <t xml:space="preserve">BREAD,HONEY,PEANUTS,CONDIMENTS </t>
  </si>
  <si>
    <t>468M</t>
  </si>
  <si>
    <t xml:space="preserve">JOSELIN MARTINEZ </t>
  </si>
  <si>
    <t xml:space="preserve">VICENTA MEJIA </t>
  </si>
  <si>
    <t>CLEMENCIA</t>
  </si>
  <si>
    <t>BREAD,CLOTHES,ACCESORIES,CHEESE,CANDYS</t>
  </si>
  <si>
    <t>135M</t>
  </si>
  <si>
    <t xml:space="preserve">KAREN LEMUS </t>
  </si>
  <si>
    <t xml:space="preserve">JOSE VICTOR </t>
  </si>
  <si>
    <t>CLOTHES,SHOES,CONDIMENTS,ACCESORIES,CANDYS,NATURAL MEDICINE,COSMETICS</t>
  </si>
  <si>
    <t>128M</t>
  </si>
  <si>
    <t xml:space="preserve">MARIA ELENA YERDEZ </t>
  </si>
  <si>
    <t xml:space="preserve">NIDIA AGOSTO </t>
  </si>
  <si>
    <t>CLOTHES,SHOES,CIGARRETTES,ACCESORIES,CANDYS</t>
  </si>
  <si>
    <t>412M</t>
  </si>
  <si>
    <t xml:space="preserve">MARTA MEJIA </t>
  </si>
  <si>
    <t xml:space="preserve">ANA QUESADA </t>
  </si>
  <si>
    <t xml:space="preserve">CLOTHES,SHOES,CIGARRETTES,COFFE,GIFTS </t>
  </si>
  <si>
    <t>042M</t>
  </si>
  <si>
    <t xml:space="preserve">JAVIER BALCARCEL </t>
  </si>
  <si>
    <t xml:space="preserve">NOHEMY BALCARCEL </t>
  </si>
  <si>
    <t xml:space="preserve">SHOES </t>
  </si>
  <si>
    <t>045M</t>
  </si>
  <si>
    <t xml:space="preserve">MELANNY HERNANDEZ </t>
  </si>
  <si>
    <t xml:space="preserve">JOSE LEMUS </t>
  </si>
  <si>
    <t>LILY</t>
  </si>
  <si>
    <t xml:space="preserve">VITAMIN SUPPLEMENTS </t>
  </si>
  <si>
    <t>98K</t>
  </si>
  <si>
    <t xml:space="preserve">RENATO DOMINGUEZ </t>
  </si>
  <si>
    <t>AMANDA DOMINGUEZ</t>
  </si>
  <si>
    <t>99K</t>
  </si>
  <si>
    <t xml:space="preserve">SUSETH MENDOZA </t>
  </si>
  <si>
    <t xml:space="preserve">FRANCISCO MENDOZA LEMUS </t>
  </si>
  <si>
    <t>BREAD,CHIPS</t>
  </si>
  <si>
    <t>903K</t>
  </si>
  <si>
    <t xml:space="preserve">PAOLA ESTRADA </t>
  </si>
  <si>
    <t xml:space="preserve">JENIFER DEL CID </t>
  </si>
  <si>
    <t>BREAD,CLOTHES,SHOES,CIGARRETTES,NATURAL MEDICINE,COSMETICS</t>
  </si>
  <si>
    <t>LOS AMATES</t>
  </si>
  <si>
    <t>904K</t>
  </si>
  <si>
    <t xml:space="preserve">CARMEN LADINO </t>
  </si>
  <si>
    <t xml:space="preserve">SONIA LADINO </t>
  </si>
  <si>
    <t>BREAD,COFFE,PEANUTSS,CHIPS,CANDYS,CIGARRO,CHEESE,CONDIMENTS</t>
  </si>
  <si>
    <t>1001A</t>
  </si>
  <si>
    <t xml:space="preserve">ERICK MENDOZA </t>
  </si>
  <si>
    <t xml:space="preserve">MARISOL MENDOZA REYES </t>
  </si>
  <si>
    <t>EVELYN</t>
  </si>
  <si>
    <t>HAMMOCKS,TOYS</t>
  </si>
  <si>
    <t>1002A</t>
  </si>
  <si>
    <t xml:space="preserve">FERNANDO MORALES </t>
  </si>
  <si>
    <t xml:space="preserve">KARLA MORALES </t>
  </si>
  <si>
    <t>224B</t>
  </si>
  <si>
    <t xml:space="preserve">IRMA CASTAÑEDA </t>
  </si>
  <si>
    <t xml:space="preserve">ROSA CASTAÑEDA </t>
  </si>
  <si>
    <t xml:space="preserve">BREAD,CLOTHES,SHOES,CONDIMENTS </t>
  </si>
  <si>
    <t>902K</t>
  </si>
  <si>
    <t xml:space="preserve">GLADIS PORTILLO </t>
  </si>
  <si>
    <t xml:space="preserve">RAUL CRUZ PORTILLO </t>
  </si>
  <si>
    <t xml:space="preserve">SULI </t>
  </si>
  <si>
    <t xml:space="preserve">CLOTHES,DOCUMENTS,SUPLMENTO VITAMINICO </t>
  </si>
  <si>
    <t>429M</t>
  </si>
  <si>
    <t xml:space="preserve">BLANCA ESTELA FELIPE </t>
  </si>
  <si>
    <t xml:space="preserve">IRMA DEL CARMEN FELIPE </t>
  </si>
  <si>
    <t>ESMERALDA</t>
  </si>
  <si>
    <t>CLOTHES,DOCUMENTS,VITAMIN SUPPLEMENTS</t>
  </si>
  <si>
    <t>ROPA,DOCUMENTOS,SUPLEMENTO VITAMINICO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</si>
</sst>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15" fillId="0" borderId="31" xfId="0" applyFont="1" applyBorder="1" applyAlignment="1" applyProtection="1">
      <alignment horizontal="center" vertical="center" wrapText="1"/>
      <protection hidden="1"/>
    </xf>
    <xf numFmtId="0" fontId="15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8" xfId="0" applyFont="1" applyFill="1" applyBorder="1" applyAlignment="1" applyProtection="1">
      <alignment horizontal="center"/>
      <protection locked="0"/>
    </xf>
    <xf numFmtId="0" fontId="19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41" xfId="0" applyFont="1" applyBorder="1" applyAlignment="1"/>
    <xf numFmtId="0" fontId="4" fillId="0" borderId="41" xfId="0" applyFont="1" applyBorder="1" applyAlignment="1">
      <alignment vertical="center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317</v>
      </c>
      <c r="B1" s="115" t="s">
        <v>653</v>
      </c>
      <c r="C1" s="115"/>
      <c r="D1" s="115"/>
      <c r="E1" s="115"/>
      <c r="F1" s="11"/>
      <c r="G1" s="12">
        <v>30</v>
      </c>
      <c r="J1" s="13" t="s">
        <v>13</v>
      </c>
    </row>
    <row r="2" spans="1:26" ht="17.25" customHeight="1" x14ac:dyDescent="0.25">
      <c r="A2" s="14" t="s">
        <v>5</v>
      </c>
      <c r="B2" s="116" t="str">
        <f>VLOOKUP(I3,'Base de Datos'!J2:L195,2,FALSE)</f>
        <v>CASA 63, ACCESO B ZONA 1</v>
      </c>
      <c r="C2" s="116"/>
      <c r="D2" s="116"/>
      <c r="E2" s="116"/>
      <c r="F2" s="123" t="str">
        <f>VLOOKUP(I3,'Base de Datos'!J2:L195,3,FALSE)</f>
        <v>IPALA - GUATEMALA</v>
      </c>
      <c r="G2" s="124"/>
      <c r="I2" s="15" t="s">
        <v>2</v>
      </c>
      <c r="J2" s="15" t="s">
        <v>111</v>
      </c>
      <c r="K2" s="16"/>
      <c r="L2" s="17"/>
      <c r="M2" s="18"/>
      <c r="N2" s="18"/>
    </row>
    <row r="3" spans="1:26" ht="18" x14ac:dyDescent="0.25">
      <c r="A3" s="14" t="s">
        <v>7</v>
      </c>
      <c r="B3" s="91" t="s">
        <v>654</v>
      </c>
      <c r="C3" s="91"/>
      <c r="D3" s="91"/>
      <c r="E3" s="91"/>
      <c r="F3" s="19"/>
      <c r="G3" s="20"/>
      <c r="I3" s="21">
        <v>57</v>
      </c>
      <c r="J3" s="21">
        <v>65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5</v>
      </c>
      <c r="B4" s="122" t="str">
        <f>VLOOKUP(J3,'Base de Datos'!A2:F95,2,FALSE)</f>
        <v>89 MARVIN AVE</v>
      </c>
      <c r="C4" s="122"/>
      <c r="D4" s="122" t="str">
        <f>VLOOKUP(J3,'Base de Datos'!A2:F95,3,FALSE)</f>
        <v>BREWSTER</v>
      </c>
      <c r="E4" s="122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8</v>
      </c>
      <c r="B5" s="126">
        <v>4435098789</v>
      </c>
      <c r="C5" s="126"/>
      <c r="D5" s="123"/>
      <c r="E5" s="123"/>
      <c r="F5" s="26" t="s">
        <v>4</v>
      </c>
      <c r="G5" s="27">
        <f ca="1">TODAY()</f>
        <v>45070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20" t="s">
        <v>0</v>
      </c>
      <c r="B7" s="121"/>
      <c r="C7" s="121" t="s">
        <v>1</v>
      </c>
      <c r="D7" s="121"/>
      <c r="E7" s="121"/>
      <c r="F7" s="31" t="s">
        <v>9</v>
      </c>
      <c r="G7" s="32" t="s">
        <v>10</v>
      </c>
      <c r="J7" s="33"/>
      <c r="K7" s="33"/>
      <c r="L7" s="33"/>
    </row>
    <row r="8" spans="1:26" ht="15" customHeight="1" x14ac:dyDescent="0.2">
      <c r="A8" s="96" t="s">
        <v>22</v>
      </c>
      <c r="B8" s="97"/>
      <c r="C8" s="131" t="s">
        <v>657</v>
      </c>
      <c r="D8" s="102"/>
      <c r="E8" s="103"/>
      <c r="F8" s="93">
        <v>76</v>
      </c>
      <c r="G8" s="89" t="s">
        <v>652</v>
      </c>
      <c r="J8" s="33"/>
      <c r="K8" s="33"/>
      <c r="L8" s="33"/>
    </row>
    <row r="9" spans="1:26" ht="15" customHeight="1" x14ac:dyDescent="0.25">
      <c r="A9" s="98"/>
      <c r="B9" s="99"/>
      <c r="C9" s="104"/>
      <c r="D9" s="105"/>
      <c r="E9" s="106"/>
      <c r="F9" s="94"/>
      <c r="G9" s="90"/>
      <c r="I9" s="34"/>
      <c r="J9" s="33"/>
      <c r="K9" s="33"/>
      <c r="L9" s="33"/>
    </row>
    <row r="10" spans="1:26" ht="15" customHeight="1" x14ac:dyDescent="0.2">
      <c r="A10" s="98"/>
      <c r="B10" s="99"/>
      <c r="C10" s="104"/>
      <c r="D10" s="105"/>
      <c r="E10" s="106"/>
      <c r="F10" s="94"/>
      <c r="G10" s="90"/>
      <c r="I10" s="35"/>
      <c r="J10" s="33"/>
      <c r="K10" s="33"/>
      <c r="L10" s="33"/>
    </row>
    <row r="11" spans="1:26" ht="15" customHeight="1" x14ac:dyDescent="0.2">
      <c r="A11" s="98"/>
      <c r="B11" s="99"/>
      <c r="C11" s="104"/>
      <c r="D11" s="105"/>
      <c r="E11" s="106"/>
      <c r="F11" s="94"/>
      <c r="G11" s="90"/>
    </row>
    <row r="12" spans="1:26" ht="27" customHeight="1" x14ac:dyDescent="0.2">
      <c r="A12" s="98"/>
      <c r="B12" s="99"/>
      <c r="C12" s="104"/>
      <c r="D12" s="105"/>
      <c r="E12" s="106"/>
      <c r="F12" s="94" t="s">
        <v>12</v>
      </c>
      <c r="G12" s="90"/>
    </row>
    <row r="13" spans="1:26" ht="25.5" customHeight="1" x14ac:dyDescent="0.35">
      <c r="A13" s="100"/>
      <c r="B13" s="101"/>
      <c r="C13" s="107"/>
      <c r="D13" s="108"/>
      <c r="E13" s="109"/>
      <c r="F13" s="95"/>
      <c r="G13" s="36" t="s">
        <v>405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7" t="s">
        <v>3</v>
      </c>
      <c r="B15" s="118"/>
      <c r="C15" s="119" t="s">
        <v>655</v>
      </c>
      <c r="D15" s="119"/>
      <c r="E15" s="119"/>
      <c r="F15" s="40" t="s">
        <v>6</v>
      </c>
      <c r="G15" s="41" t="str">
        <f>F2</f>
        <v>IPALA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92" t="s">
        <v>11</v>
      </c>
      <c r="B17" s="92"/>
      <c r="C17" s="92"/>
      <c r="D17" s="92"/>
      <c r="E17" s="92"/>
      <c r="F17" s="92"/>
      <c r="G17" s="92"/>
      <c r="H17" s="35"/>
      <c r="J17" s="127" t="s">
        <v>406</v>
      </c>
      <c r="K17" s="127"/>
      <c r="L17" s="127"/>
      <c r="M17" s="127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7"/>
      <c r="K18" s="127"/>
      <c r="L18" s="127"/>
      <c r="M18" s="127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7"/>
      <c r="K19" s="127"/>
      <c r="L19" s="127"/>
      <c r="M19" s="127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317</v>
      </c>
      <c r="F21" s="45"/>
      <c r="G21" s="45"/>
      <c r="J21" s="125"/>
      <c r="K21" s="125"/>
      <c r="L21" s="125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5"/>
      <c r="K22" s="125"/>
      <c r="L22" s="125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5"/>
      <c r="K23" s="125"/>
      <c r="L23" s="125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10" t="s">
        <v>320</v>
      </c>
      <c r="J26" s="111"/>
      <c r="K26" s="111"/>
      <c r="L26" s="112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13">
        <f>SUM(Manifiesto!E3:E1048576)</f>
        <v>1010.5599999999998</v>
      </c>
      <c r="J27" s="113"/>
      <c r="K27" s="113"/>
      <c r="L27" s="113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4"/>
      <c r="B35" s="114"/>
      <c r="C35" s="114"/>
      <c r="D35" s="114"/>
      <c r="E35" s="114"/>
      <c r="F35" s="114"/>
      <c r="G35" s="114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16</v>
      </c>
      <c r="B1" s="70" t="s">
        <v>14</v>
      </c>
      <c r="C1" s="70" t="s">
        <v>18</v>
      </c>
      <c r="D1" s="70" t="s">
        <v>15</v>
      </c>
      <c r="E1" s="70" t="s">
        <v>19</v>
      </c>
      <c r="F1" s="71" t="s">
        <v>23</v>
      </c>
      <c r="G1" s="72" t="s">
        <v>103</v>
      </c>
      <c r="J1" s="70" t="s">
        <v>16</v>
      </c>
      <c r="K1" s="70" t="s">
        <v>14</v>
      </c>
      <c r="L1" s="70" t="s">
        <v>18</v>
      </c>
    </row>
    <row r="2" spans="1:16" x14ac:dyDescent="0.2">
      <c r="A2" s="50">
        <v>1</v>
      </c>
      <c r="B2" s="50" t="s">
        <v>20</v>
      </c>
      <c r="C2" s="50" t="s">
        <v>21</v>
      </c>
      <c r="D2" s="50" t="s">
        <v>17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113</v>
      </c>
      <c r="L2" s="74" t="s">
        <v>268</v>
      </c>
      <c r="N2" s="73"/>
      <c r="O2" s="73"/>
      <c r="P2" s="73"/>
    </row>
    <row r="3" spans="1:16" x14ac:dyDescent="0.2">
      <c r="A3" s="50">
        <v>2</v>
      </c>
      <c r="B3" s="50" t="s">
        <v>24</v>
      </c>
      <c r="C3" s="50" t="s">
        <v>25</v>
      </c>
      <c r="D3" s="50" t="s">
        <v>17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114</v>
      </c>
      <c r="L3" s="74" t="s">
        <v>268</v>
      </c>
      <c r="N3" s="73"/>
      <c r="O3" s="73"/>
      <c r="P3" s="73"/>
    </row>
    <row r="4" spans="1:16" x14ac:dyDescent="0.2">
      <c r="A4" s="50">
        <v>3</v>
      </c>
      <c r="B4" s="50" t="s">
        <v>26</v>
      </c>
      <c r="C4" s="50" t="s">
        <v>27</v>
      </c>
      <c r="D4" s="50" t="s">
        <v>17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115</v>
      </c>
      <c r="L4" s="74" t="s">
        <v>268</v>
      </c>
      <c r="N4" s="73"/>
      <c r="O4" s="73"/>
      <c r="P4" s="73"/>
    </row>
    <row r="5" spans="1:16" x14ac:dyDescent="0.2">
      <c r="A5" s="50">
        <v>4</v>
      </c>
      <c r="B5" s="50" t="s">
        <v>28</v>
      </c>
      <c r="C5" s="50" t="s">
        <v>27</v>
      </c>
      <c r="D5" s="50" t="s">
        <v>17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116</v>
      </c>
      <c r="L5" s="74" t="s">
        <v>268</v>
      </c>
      <c r="N5" s="73"/>
      <c r="O5" s="73"/>
      <c r="P5" s="73"/>
    </row>
    <row r="6" spans="1:16" x14ac:dyDescent="0.2">
      <c r="A6" s="50">
        <v>5</v>
      </c>
      <c r="B6" s="50" t="s">
        <v>29</v>
      </c>
      <c r="C6" s="50" t="s">
        <v>27</v>
      </c>
      <c r="D6" s="50" t="s">
        <v>17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117</v>
      </c>
      <c r="L6" s="74" t="s">
        <v>268</v>
      </c>
      <c r="N6" s="73"/>
      <c r="O6" s="73"/>
      <c r="P6" s="73"/>
    </row>
    <row r="7" spans="1:16" x14ac:dyDescent="0.2">
      <c r="A7" s="50">
        <v>6</v>
      </c>
      <c r="B7" s="50" t="s">
        <v>30</v>
      </c>
      <c r="C7" s="50" t="s">
        <v>27</v>
      </c>
      <c r="D7" s="50" t="s">
        <v>17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118</v>
      </c>
      <c r="L7" s="74" t="s">
        <v>268</v>
      </c>
      <c r="N7" s="73"/>
      <c r="O7" s="73"/>
      <c r="P7" s="73"/>
    </row>
    <row r="8" spans="1:16" x14ac:dyDescent="0.2">
      <c r="A8" s="50">
        <v>7</v>
      </c>
      <c r="B8" s="50" t="s">
        <v>31</v>
      </c>
      <c r="C8" s="50" t="s">
        <v>27</v>
      </c>
      <c r="D8" s="50" t="s">
        <v>17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119</v>
      </c>
      <c r="L8" s="74" t="s">
        <v>268</v>
      </c>
      <c r="N8" s="73"/>
      <c r="O8" s="73"/>
      <c r="P8" s="73"/>
    </row>
    <row r="9" spans="1:16" x14ac:dyDescent="0.2">
      <c r="A9" s="50">
        <v>8</v>
      </c>
      <c r="B9" s="50" t="s">
        <v>32</v>
      </c>
      <c r="C9" s="50" t="s">
        <v>27</v>
      </c>
      <c r="D9" s="50" t="s">
        <v>17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120</v>
      </c>
      <c r="L9" s="74" t="s">
        <v>268</v>
      </c>
      <c r="N9" s="73"/>
      <c r="O9" s="73"/>
      <c r="P9" s="73"/>
    </row>
    <row r="10" spans="1:16" x14ac:dyDescent="0.2">
      <c r="A10" s="50">
        <v>9</v>
      </c>
      <c r="B10" s="50" t="s">
        <v>33</v>
      </c>
      <c r="C10" s="50" t="s">
        <v>27</v>
      </c>
      <c r="D10" s="50" t="s">
        <v>17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121</v>
      </c>
      <c r="L10" s="74" t="s">
        <v>268</v>
      </c>
      <c r="N10" s="73"/>
      <c r="O10" s="73"/>
      <c r="P10" s="73"/>
    </row>
    <row r="11" spans="1:16" x14ac:dyDescent="0.2">
      <c r="A11" s="50">
        <v>10</v>
      </c>
      <c r="B11" s="50" t="s">
        <v>34</v>
      </c>
      <c r="C11" s="50" t="s">
        <v>25</v>
      </c>
      <c r="D11" s="50" t="s">
        <v>17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122</v>
      </c>
      <c r="L11" s="74" t="s">
        <v>268</v>
      </c>
      <c r="N11" s="73"/>
      <c r="O11" s="73"/>
      <c r="P11" s="73"/>
    </row>
    <row r="12" spans="1:16" x14ac:dyDescent="0.2">
      <c r="A12" s="50">
        <v>11</v>
      </c>
      <c r="B12" s="50" t="s">
        <v>35</v>
      </c>
      <c r="C12" s="50" t="s">
        <v>36</v>
      </c>
      <c r="D12" s="50" t="s">
        <v>17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123</v>
      </c>
      <c r="L12" s="74" t="s">
        <v>268</v>
      </c>
      <c r="N12" s="73"/>
      <c r="O12" s="73"/>
      <c r="P12" s="73"/>
    </row>
    <row r="13" spans="1:16" x14ac:dyDescent="0.2">
      <c r="A13" s="50">
        <v>12</v>
      </c>
      <c r="B13" s="50" t="s">
        <v>37</v>
      </c>
      <c r="C13" s="50" t="s">
        <v>38</v>
      </c>
      <c r="D13" s="50" t="s">
        <v>17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124</v>
      </c>
      <c r="L13" s="74" t="s">
        <v>268</v>
      </c>
      <c r="N13" s="73"/>
      <c r="O13" s="73"/>
      <c r="P13" s="73"/>
    </row>
    <row r="14" spans="1:16" x14ac:dyDescent="0.2">
      <c r="A14" s="50">
        <v>13</v>
      </c>
      <c r="B14" s="50" t="s">
        <v>39</v>
      </c>
      <c r="C14" s="50" t="s">
        <v>38</v>
      </c>
      <c r="D14" s="50" t="s">
        <v>17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125</v>
      </c>
      <c r="L14" s="74" t="s">
        <v>268</v>
      </c>
      <c r="N14" s="73"/>
      <c r="O14" s="73"/>
      <c r="P14" s="73"/>
    </row>
    <row r="15" spans="1:16" x14ac:dyDescent="0.2">
      <c r="A15" s="50">
        <v>14</v>
      </c>
      <c r="B15" s="50" t="s">
        <v>40</v>
      </c>
      <c r="C15" s="50" t="s">
        <v>38</v>
      </c>
      <c r="D15" s="50" t="s">
        <v>17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126</v>
      </c>
      <c r="L15" s="74" t="s">
        <v>268</v>
      </c>
      <c r="N15" s="73"/>
      <c r="O15" s="73"/>
      <c r="P15" s="73"/>
    </row>
    <row r="16" spans="1:16" x14ac:dyDescent="0.2">
      <c r="A16" s="50">
        <v>15</v>
      </c>
      <c r="B16" s="50" t="s">
        <v>41</v>
      </c>
      <c r="C16" s="50" t="s">
        <v>27</v>
      </c>
      <c r="D16" s="50" t="s">
        <v>17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127</v>
      </c>
      <c r="L16" s="74" t="s">
        <v>268</v>
      </c>
      <c r="N16" s="73"/>
      <c r="O16" s="73"/>
      <c r="P16" s="73"/>
    </row>
    <row r="17" spans="1:16" x14ac:dyDescent="0.2">
      <c r="A17" s="50">
        <v>16</v>
      </c>
      <c r="B17" s="50" t="s">
        <v>42</v>
      </c>
      <c r="C17" s="50" t="s">
        <v>27</v>
      </c>
      <c r="D17" s="50" t="s">
        <v>17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128</v>
      </c>
      <c r="L17" s="74" t="s">
        <v>268</v>
      </c>
      <c r="N17" s="73"/>
      <c r="O17" s="73"/>
      <c r="P17" s="73"/>
    </row>
    <row r="18" spans="1:16" x14ac:dyDescent="0.2">
      <c r="A18" s="50">
        <v>17</v>
      </c>
      <c r="B18" s="50" t="s">
        <v>43</v>
      </c>
      <c r="C18" s="50" t="s">
        <v>27</v>
      </c>
      <c r="D18" s="50" t="s">
        <v>17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129</v>
      </c>
      <c r="L18" s="74" t="s">
        <v>268</v>
      </c>
      <c r="N18" s="73"/>
      <c r="O18" s="73"/>
      <c r="P18" s="73"/>
    </row>
    <row r="19" spans="1:16" x14ac:dyDescent="0.2">
      <c r="A19" s="50">
        <v>18</v>
      </c>
      <c r="B19" s="50" t="s">
        <v>44</v>
      </c>
      <c r="C19" s="50" t="s">
        <v>27</v>
      </c>
      <c r="D19" s="50" t="s">
        <v>17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130</v>
      </c>
      <c r="L19" s="74" t="s">
        <v>268</v>
      </c>
      <c r="N19" s="73"/>
      <c r="O19" s="73"/>
      <c r="P19" s="73"/>
    </row>
    <row r="20" spans="1:16" x14ac:dyDescent="0.2">
      <c r="A20" s="50">
        <v>19</v>
      </c>
      <c r="B20" s="50" t="s">
        <v>45</v>
      </c>
      <c r="C20" s="50" t="s">
        <v>27</v>
      </c>
      <c r="D20" s="50" t="s">
        <v>17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131</v>
      </c>
      <c r="L20" s="74" t="s">
        <v>268</v>
      </c>
      <c r="N20" s="73"/>
      <c r="O20" s="73"/>
      <c r="P20" s="73"/>
    </row>
    <row r="21" spans="1:16" x14ac:dyDescent="0.2">
      <c r="A21" s="50">
        <v>20</v>
      </c>
      <c r="B21" s="50" t="s">
        <v>46</v>
      </c>
      <c r="C21" s="50" t="s">
        <v>27</v>
      </c>
      <c r="D21" s="50" t="s">
        <v>17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132</v>
      </c>
      <c r="L21" s="74" t="s">
        <v>268</v>
      </c>
      <c r="N21" s="73"/>
      <c r="O21" s="73"/>
      <c r="P21" s="73"/>
    </row>
    <row r="22" spans="1:16" x14ac:dyDescent="0.2">
      <c r="A22" s="50">
        <v>21</v>
      </c>
      <c r="B22" s="50" t="s">
        <v>47</v>
      </c>
      <c r="C22" s="50" t="s">
        <v>27</v>
      </c>
      <c r="D22" s="50" t="s">
        <v>17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133</v>
      </c>
      <c r="L22" s="74" t="s">
        <v>268</v>
      </c>
      <c r="N22" s="73"/>
      <c r="O22" s="73"/>
      <c r="P22" s="73"/>
    </row>
    <row r="23" spans="1:16" x14ac:dyDescent="0.2">
      <c r="A23" s="50">
        <v>22</v>
      </c>
      <c r="B23" s="50" t="s">
        <v>48</v>
      </c>
      <c r="C23" s="50" t="s">
        <v>49</v>
      </c>
      <c r="D23" s="50" t="s">
        <v>17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134</v>
      </c>
      <c r="L23" s="74" t="s">
        <v>268</v>
      </c>
      <c r="N23" s="73"/>
      <c r="O23" s="73"/>
      <c r="P23" s="73"/>
    </row>
    <row r="24" spans="1:16" x14ac:dyDescent="0.2">
      <c r="A24" s="50">
        <v>23</v>
      </c>
      <c r="B24" s="50" t="s">
        <v>50</v>
      </c>
      <c r="C24" s="50" t="s">
        <v>27</v>
      </c>
      <c r="D24" s="50" t="s">
        <v>17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135</v>
      </c>
      <c r="L24" s="74" t="s">
        <v>268</v>
      </c>
      <c r="N24" s="73"/>
      <c r="O24" s="73"/>
      <c r="P24" s="73"/>
    </row>
    <row r="25" spans="1:16" x14ac:dyDescent="0.2">
      <c r="A25" s="50">
        <v>24</v>
      </c>
      <c r="B25" s="50" t="s">
        <v>51</v>
      </c>
      <c r="C25" s="50" t="s">
        <v>27</v>
      </c>
      <c r="D25" s="50" t="s">
        <v>17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136</v>
      </c>
      <c r="L25" s="74" t="s">
        <v>268</v>
      </c>
      <c r="N25" s="73"/>
      <c r="O25" s="73"/>
      <c r="P25" s="73"/>
    </row>
    <row r="26" spans="1:16" x14ac:dyDescent="0.2">
      <c r="A26" s="50">
        <v>25</v>
      </c>
      <c r="B26" s="50" t="s">
        <v>52</v>
      </c>
      <c r="C26" s="50" t="s">
        <v>25</v>
      </c>
      <c r="D26" s="50" t="s">
        <v>17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300</v>
      </c>
      <c r="L26" s="74" t="s">
        <v>268</v>
      </c>
      <c r="N26" s="73"/>
      <c r="O26" s="73"/>
      <c r="P26" s="73"/>
    </row>
    <row r="27" spans="1:16" x14ac:dyDescent="0.2">
      <c r="A27" s="50">
        <v>26</v>
      </c>
      <c r="B27" s="50" t="s">
        <v>53</v>
      </c>
      <c r="C27" s="50" t="s">
        <v>27</v>
      </c>
      <c r="D27" s="50" t="s">
        <v>17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301</v>
      </c>
      <c r="L27" s="74" t="s">
        <v>268</v>
      </c>
      <c r="N27" s="73"/>
      <c r="O27" s="73"/>
      <c r="P27" s="73"/>
    </row>
    <row r="28" spans="1:16" x14ac:dyDescent="0.2">
      <c r="A28" s="50">
        <v>27</v>
      </c>
      <c r="B28" s="50" t="s">
        <v>54</v>
      </c>
      <c r="C28" s="50" t="s">
        <v>55</v>
      </c>
      <c r="D28" s="50" t="s">
        <v>17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302</v>
      </c>
      <c r="L28" s="74" t="s">
        <v>268</v>
      </c>
      <c r="N28" s="73"/>
      <c r="O28" s="73"/>
      <c r="P28" s="73"/>
    </row>
    <row r="29" spans="1:16" x14ac:dyDescent="0.2">
      <c r="A29" s="50">
        <v>28</v>
      </c>
      <c r="B29" s="50" t="s">
        <v>56</v>
      </c>
      <c r="C29" s="50" t="s">
        <v>27</v>
      </c>
      <c r="D29" s="50" t="s">
        <v>17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303</v>
      </c>
      <c r="L29" s="74" t="s">
        <v>268</v>
      </c>
      <c r="N29" s="73"/>
      <c r="O29" s="73"/>
      <c r="P29" s="73"/>
    </row>
    <row r="30" spans="1:16" x14ac:dyDescent="0.2">
      <c r="A30" s="50">
        <v>29</v>
      </c>
      <c r="B30" s="50" t="s">
        <v>57</v>
      </c>
      <c r="C30" s="50" t="s">
        <v>25</v>
      </c>
      <c r="D30" s="50" t="s">
        <v>17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304</v>
      </c>
      <c r="L30" s="74" t="s">
        <v>268</v>
      </c>
      <c r="N30" s="73"/>
      <c r="O30" s="73"/>
      <c r="P30" s="73"/>
    </row>
    <row r="31" spans="1:16" x14ac:dyDescent="0.2">
      <c r="A31" s="50">
        <v>30</v>
      </c>
      <c r="B31" s="50" t="s">
        <v>58</v>
      </c>
      <c r="C31" s="50" t="s">
        <v>55</v>
      </c>
      <c r="D31" s="50" t="s">
        <v>17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305</v>
      </c>
      <c r="L31" s="74" t="s">
        <v>268</v>
      </c>
      <c r="N31" s="73"/>
      <c r="O31" s="73"/>
      <c r="P31" s="73"/>
    </row>
    <row r="32" spans="1:16" x14ac:dyDescent="0.2">
      <c r="A32" s="50">
        <v>31</v>
      </c>
      <c r="B32" s="50" t="s">
        <v>59</v>
      </c>
      <c r="C32" s="50" t="s">
        <v>25</v>
      </c>
      <c r="D32" s="50" t="s">
        <v>17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306</v>
      </c>
      <c r="L32" s="74" t="s">
        <v>268</v>
      </c>
      <c r="N32" s="73"/>
      <c r="O32" s="73"/>
      <c r="P32" s="73"/>
    </row>
    <row r="33" spans="1:16" x14ac:dyDescent="0.2">
      <c r="A33" s="50">
        <v>32</v>
      </c>
      <c r="B33" s="50" t="s">
        <v>60</v>
      </c>
      <c r="C33" s="50" t="s">
        <v>27</v>
      </c>
      <c r="D33" s="50" t="s">
        <v>17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307</v>
      </c>
      <c r="L33" s="74" t="s">
        <v>268</v>
      </c>
      <c r="N33" s="73"/>
      <c r="O33" s="73"/>
      <c r="P33" s="73"/>
    </row>
    <row r="34" spans="1:16" x14ac:dyDescent="0.2">
      <c r="A34" s="50">
        <v>33</v>
      </c>
      <c r="B34" s="50" t="s">
        <v>61</v>
      </c>
      <c r="C34" s="50" t="s">
        <v>27</v>
      </c>
      <c r="D34" s="50" t="s">
        <v>17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308</v>
      </c>
      <c r="L34" s="74" t="s">
        <v>268</v>
      </c>
      <c r="N34" s="73"/>
      <c r="O34" s="73"/>
      <c r="P34" s="73"/>
    </row>
    <row r="35" spans="1:16" x14ac:dyDescent="0.2">
      <c r="A35" s="50">
        <v>34</v>
      </c>
      <c r="B35" s="50" t="s">
        <v>62</v>
      </c>
      <c r="C35" s="50" t="s">
        <v>63</v>
      </c>
      <c r="D35" s="50" t="s">
        <v>17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309</v>
      </c>
      <c r="L35" s="74" t="s">
        <v>268</v>
      </c>
      <c r="N35" s="73"/>
      <c r="O35" s="73"/>
      <c r="P35" s="73"/>
    </row>
    <row r="36" spans="1:16" x14ac:dyDescent="0.2">
      <c r="A36" s="50">
        <v>35</v>
      </c>
      <c r="B36" s="50" t="s">
        <v>64</v>
      </c>
      <c r="C36" s="50" t="s">
        <v>27</v>
      </c>
      <c r="D36" s="50" t="s">
        <v>17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310</v>
      </c>
      <c r="L36" s="74" t="s">
        <v>268</v>
      </c>
      <c r="N36" s="73"/>
      <c r="O36" s="73"/>
      <c r="P36" s="73"/>
    </row>
    <row r="37" spans="1:16" x14ac:dyDescent="0.2">
      <c r="A37" s="50">
        <v>36</v>
      </c>
      <c r="B37" s="50" t="s">
        <v>65</v>
      </c>
      <c r="C37" s="50" t="s">
        <v>21</v>
      </c>
      <c r="D37" s="50" t="s">
        <v>17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311</v>
      </c>
      <c r="L37" s="74" t="s">
        <v>268</v>
      </c>
      <c r="N37" s="73"/>
      <c r="O37" s="73"/>
      <c r="P37" s="73"/>
    </row>
    <row r="38" spans="1:16" x14ac:dyDescent="0.2">
      <c r="A38" s="50">
        <v>37</v>
      </c>
      <c r="B38" s="50" t="s">
        <v>66</v>
      </c>
      <c r="C38" s="50" t="s">
        <v>25</v>
      </c>
      <c r="D38" s="50" t="s">
        <v>17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312</v>
      </c>
      <c r="L38" s="74" t="s">
        <v>268</v>
      </c>
      <c r="N38" s="73"/>
      <c r="O38" s="73"/>
      <c r="P38" s="73"/>
    </row>
    <row r="39" spans="1:16" x14ac:dyDescent="0.2">
      <c r="A39" s="50">
        <v>38</v>
      </c>
      <c r="B39" s="50" t="s">
        <v>67</v>
      </c>
      <c r="C39" s="50" t="s">
        <v>27</v>
      </c>
      <c r="D39" s="50" t="s">
        <v>17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137</v>
      </c>
      <c r="L39" s="75" t="s">
        <v>269</v>
      </c>
      <c r="N39" s="73"/>
      <c r="O39" s="73"/>
      <c r="P39" s="73"/>
    </row>
    <row r="40" spans="1:16" x14ac:dyDescent="0.2">
      <c r="A40" s="50">
        <v>39</v>
      </c>
      <c r="B40" s="50" t="s">
        <v>68</v>
      </c>
      <c r="C40" s="50" t="s">
        <v>69</v>
      </c>
      <c r="D40" s="50" t="s">
        <v>17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138</v>
      </c>
      <c r="L40" s="75" t="s">
        <v>269</v>
      </c>
      <c r="N40" s="73"/>
      <c r="O40" s="73"/>
      <c r="P40" s="73"/>
    </row>
    <row r="41" spans="1:16" x14ac:dyDescent="0.2">
      <c r="A41" s="50">
        <v>40</v>
      </c>
      <c r="B41" s="50" t="s">
        <v>70</v>
      </c>
      <c r="C41" s="50" t="s">
        <v>69</v>
      </c>
      <c r="D41" s="50" t="s">
        <v>17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139</v>
      </c>
      <c r="L41" s="75" t="s">
        <v>269</v>
      </c>
      <c r="N41" s="73"/>
      <c r="O41" s="73"/>
      <c r="P41" s="73"/>
    </row>
    <row r="42" spans="1:16" x14ac:dyDescent="0.2">
      <c r="A42" s="50">
        <v>41</v>
      </c>
      <c r="B42" s="50" t="s">
        <v>71</v>
      </c>
      <c r="C42" s="50" t="s">
        <v>27</v>
      </c>
      <c r="D42" s="50" t="s">
        <v>17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140</v>
      </c>
      <c r="L42" s="75" t="s">
        <v>269</v>
      </c>
      <c r="N42" s="73"/>
      <c r="O42" s="73"/>
      <c r="P42" s="73"/>
    </row>
    <row r="43" spans="1:16" x14ac:dyDescent="0.2">
      <c r="A43" s="50">
        <v>42</v>
      </c>
      <c r="B43" s="50" t="s">
        <v>72</v>
      </c>
      <c r="C43" s="50" t="s">
        <v>27</v>
      </c>
      <c r="D43" s="50" t="s">
        <v>17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141</v>
      </c>
      <c r="L43" s="75" t="s">
        <v>269</v>
      </c>
      <c r="N43" s="73"/>
      <c r="O43" s="73"/>
      <c r="P43" s="73"/>
    </row>
    <row r="44" spans="1:16" x14ac:dyDescent="0.2">
      <c r="A44" s="50">
        <v>43</v>
      </c>
      <c r="B44" s="50" t="s">
        <v>73</v>
      </c>
      <c r="C44" s="50" t="s">
        <v>27</v>
      </c>
      <c r="D44" s="50" t="s">
        <v>17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142</v>
      </c>
      <c r="L44" s="75" t="s">
        <v>269</v>
      </c>
      <c r="N44" s="73"/>
      <c r="O44" s="73"/>
      <c r="P44" s="73"/>
    </row>
    <row r="45" spans="1:16" x14ac:dyDescent="0.2">
      <c r="A45" s="50">
        <v>44</v>
      </c>
      <c r="B45" s="50" t="s">
        <v>74</v>
      </c>
      <c r="C45" s="50" t="s">
        <v>27</v>
      </c>
      <c r="D45" s="50" t="s">
        <v>17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143</v>
      </c>
      <c r="L45" s="75" t="s">
        <v>269</v>
      </c>
      <c r="N45" s="73"/>
      <c r="O45" s="73"/>
      <c r="P45" s="73"/>
    </row>
    <row r="46" spans="1:16" x14ac:dyDescent="0.2">
      <c r="A46" s="50">
        <v>45</v>
      </c>
      <c r="B46" s="50" t="s">
        <v>75</v>
      </c>
      <c r="C46" s="50" t="s">
        <v>27</v>
      </c>
      <c r="D46" s="50" t="s">
        <v>17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144</v>
      </c>
      <c r="L46" s="75" t="s">
        <v>269</v>
      </c>
      <c r="N46" s="73"/>
      <c r="O46" s="73"/>
      <c r="P46" s="73"/>
    </row>
    <row r="47" spans="1:16" x14ac:dyDescent="0.2">
      <c r="A47" s="50">
        <v>46</v>
      </c>
      <c r="B47" s="50" t="s">
        <v>76</v>
      </c>
      <c r="C47" s="50" t="s">
        <v>49</v>
      </c>
      <c r="D47" s="50" t="s">
        <v>17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145</v>
      </c>
      <c r="L47" s="75" t="s">
        <v>269</v>
      </c>
      <c r="N47" s="73"/>
      <c r="O47" s="73"/>
      <c r="P47" s="73"/>
    </row>
    <row r="48" spans="1:16" x14ac:dyDescent="0.2">
      <c r="A48" s="50">
        <v>47</v>
      </c>
      <c r="B48" s="50" t="s">
        <v>77</v>
      </c>
      <c r="C48" s="50" t="s">
        <v>69</v>
      </c>
      <c r="D48" s="50" t="s">
        <v>17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146</v>
      </c>
      <c r="L48" s="75" t="s">
        <v>269</v>
      </c>
      <c r="N48" s="73"/>
      <c r="O48" s="73"/>
      <c r="P48" s="73"/>
    </row>
    <row r="49" spans="1:16" x14ac:dyDescent="0.2">
      <c r="A49" s="50">
        <v>48</v>
      </c>
      <c r="B49" s="50" t="s">
        <v>78</v>
      </c>
      <c r="C49" s="50" t="s">
        <v>27</v>
      </c>
      <c r="D49" s="50" t="s">
        <v>17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147</v>
      </c>
      <c r="L49" s="75" t="s">
        <v>269</v>
      </c>
      <c r="N49" s="73"/>
      <c r="O49" s="73"/>
      <c r="P49" s="73"/>
    </row>
    <row r="50" spans="1:16" x14ac:dyDescent="0.2">
      <c r="A50" s="50">
        <v>49</v>
      </c>
      <c r="B50" s="50" t="s">
        <v>79</v>
      </c>
      <c r="C50" s="50" t="s">
        <v>27</v>
      </c>
      <c r="D50" s="50" t="s">
        <v>17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148</v>
      </c>
      <c r="L50" s="75" t="s">
        <v>269</v>
      </c>
      <c r="N50" s="73"/>
      <c r="O50" s="73"/>
      <c r="P50" s="73"/>
    </row>
    <row r="51" spans="1:16" x14ac:dyDescent="0.2">
      <c r="A51" s="50">
        <v>50</v>
      </c>
      <c r="B51" s="50" t="s">
        <v>80</v>
      </c>
      <c r="C51" s="50" t="s">
        <v>49</v>
      </c>
      <c r="D51" s="50" t="s">
        <v>17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149</v>
      </c>
      <c r="L51" s="75" t="s">
        <v>269</v>
      </c>
      <c r="N51" s="73"/>
      <c r="O51" s="73"/>
      <c r="P51" s="73"/>
    </row>
    <row r="52" spans="1:16" x14ac:dyDescent="0.2">
      <c r="A52" s="50">
        <v>51</v>
      </c>
      <c r="B52" s="50" t="s">
        <v>81</v>
      </c>
      <c r="C52" s="50" t="s">
        <v>27</v>
      </c>
      <c r="D52" s="50" t="s">
        <v>17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150</v>
      </c>
      <c r="L52" s="75" t="s">
        <v>269</v>
      </c>
      <c r="N52" s="73"/>
      <c r="O52" s="73"/>
      <c r="P52" s="73"/>
    </row>
    <row r="53" spans="1:16" x14ac:dyDescent="0.2">
      <c r="A53" s="50">
        <v>52</v>
      </c>
      <c r="B53" s="50" t="s">
        <v>82</v>
      </c>
      <c r="C53" s="50" t="s">
        <v>27</v>
      </c>
      <c r="D53" s="50" t="s">
        <v>17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151</v>
      </c>
      <c r="L53" s="75" t="s">
        <v>269</v>
      </c>
      <c r="N53" s="73"/>
      <c r="O53" s="73"/>
      <c r="P53" s="73"/>
    </row>
    <row r="54" spans="1:16" x14ac:dyDescent="0.2">
      <c r="A54" s="50">
        <v>53</v>
      </c>
      <c r="B54" s="50" t="s">
        <v>83</v>
      </c>
      <c r="C54" s="50" t="s">
        <v>27</v>
      </c>
      <c r="D54" s="50" t="s">
        <v>17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152</v>
      </c>
      <c r="L54" s="75" t="s">
        <v>269</v>
      </c>
      <c r="N54" s="73"/>
      <c r="O54" s="73"/>
      <c r="P54" s="73"/>
    </row>
    <row r="55" spans="1:16" x14ac:dyDescent="0.2">
      <c r="A55" s="50">
        <v>54</v>
      </c>
      <c r="B55" s="50" t="s">
        <v>84</v>
      </c>
      <c r="C55" s="50" t="s">
        <v>38</v>
      </c>
      <c r="D55" s="50" t="s">
        <v>17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153</v>
      </c>
      <c r="L55" s="75" t="s">
        <v>269</v>
      </c>
      <c r="N55" s="73"/>
      <c r="O55" s="73"/>
      <c r="P55" s="73"/>
    </row>
    <row r="56" spans="1:16" x14ac:dyDescent="0.2">
      <c r="A56" s="50">
        <v>55</v>
      </c>
      <c r="B56" s="50" t="s">
        <v>85</v>
      </c>
      <c r="C56" s="50" t="s">
        <v>86</v>
      </c>
      <c r="D56" s="50" t="s">
        <v>17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154</v>
      </c>
      <c r="L56" s="75" t="s">
        <v>269</v>
      </c>
      <c r="N56" s="73"/>
      <c r="O56" s="73"/>
      <c r="P56" s="73"/>
    </row>
    <row r="57" spans="1:16" x14ac:dyDescent="0.2">
      <c r="A57" s="50">
        <v>56</v>
      </c>
      <c r="B57" s="50" t="s">
        <v>87</v>
      </c>
      <c r="C57" s="50" t="s">
        <v>25</v>
      </c>
      <c r="D57" s="50" t="s">
        <v>17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155</v>
      </c>
      <c r="L57" s="75" t="s">
        <v>269</v>
      </c>
      <c r="N57" s="73"/>
      <c r="O57" s="73"/>
      <c r="P57" s="73"/>
    </row>
    <row r="58" spans="1:16" x14ac:dyDescent="0.2">
      <c r="A58" s="50">
        <v>57</v>
      </c>
      <c r="B58" s="50" t="s">
        <v>88</v>
      </c>
      <c r="C58" s="50" t="s">
        <v>27</v>
      </c>
      <c r="D58" s="50" t="s">
        <v>17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156</v>
      </c>
      <c r="L58" s="75" t="s">
        <v>269</v>
      </c>
      <c r="N58" s="73"/>
      <c r="O58" s="73"/>
      <c r="P58" s="73"/>
    </row>
    <row r="59" spans="1:16" x14ac:dyDescent="0.2">
      <c r="A59" s="50">
        <v>58</v>
      </c>
      <c r="B59" s="50" t="s">
        <v>89</v>
      </c>
      <c r="C59" s="50" t="s">
        <v>27</v>
      </c>
      <c r="D59" s="50" t="s">
        <v>17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157</v>
      </c>
      <c r="L59" s="75" t="s">
        <v>269</v>
      </c>
      <c r="N59" s="73"/>
      <c r="O59" s="73"/>
      <c r="P59" s="73"/>
    </row>
    <row r="60" spans="1:16" x14ac:dyDescent="0.2">
      <c r="A60" s="50">
        <v>59</v>
      </c>
      <c r="B60" s="50" t="s">
        <v>90</v>
      </c>
      <c r="C60" s="50" t="s">
        <v>25</v>
      </c>
      <c r="D60" s="50" t="s">
        <v>17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158</v>
      </c>
      <c r="L60" s="75" t="s">
        <v>269</v>
      </c>
      <c r="N60" s="73"/>
      <c r="O60" s="73"/>
      <c r="P60" s="73"/>
    </row>
    <row r="61" spans="1:16" x14ac:dyDescent="0.2">
      <c r="A61" s="50">
        <v>60</v>
      </c>
      <c r="B61" s="50" t="s">
        <v>91</v>
      </c>
      <c r="C61" s="50" t="s">
        <v>27</v>
      </c>
      <c r="D61" s="50" t="s">
        <v>17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159</v>
      </c>
      <c r="L61" s="75" t="s">
        <v>269</v>
      </c>
      <c r="N61" s="73"/>
      <c r="O61" s="73"/>
      <c r="P61" s="73"/>
    </row>
    <row r="62" spans="1:16" x14ac:dyDescent="0.2">
      <c r="A62" s="50">
        <v>61</v>
      </c>
      <c r="B62" s="50" t="s">
        <v>92</v>
      </c>
      <c r="C62" s="50" t="s">
        <v>27</v>
      </c>
      <c r="D62" s="50" t="s">
        <v>17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160</v>
      </c>
      <c r="L62" s="75" t="s">
        <v>269</v>
      </c>
      <c r="N62" s="73"/>
      <c r="O62" s="73"/>
      <c r="P62" s="73"/>
    </row>
    <row r="63" spans="1:16" x14ac:dyDescent="0.2">
      <c r="A63" s="50">
        <v>62</v>
      </c>
      <c r="B63" s="50" t="s">
        <v>93</v>
      </c>
      <c r="C63" s="50" t="s">
        <v>25</v>
      </c>
      <c r="D63" s="50" t="s">
        <v>17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161</v>
      </c>
      <c r="L63" s="75" t="s">
        <v>269</v>
      </c>
      <c r="N63" s="73"/>
      <c r="O63" s="73"/>
      <c r="P63" s="73"/>
    </row>
    <row r="64" spans="1:16" x14ac:dyDescent="0.2">
      <c r="A64" s="50">
        <v>63</v>
      </c>
      <c r="B64" s="50" t="s">
        <v>94</v>
      </c>
      <c r="C64" s="50" t="s">
        <v>27</v>
      </c>
      <c r="D64" s="50" t="s">
        <v>17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313</v>
      </c>
      <c r="L64" s="75" t="s">
        <v>269</v>
      </c>
      <c r="N64" s="73"/>
      <c r="O64" s="73"/>
      <c r="P64" s="73"/>
    </row>
    <row r="65" spans="1:16" x14ac:dyDescent="0.2">
      <c r="A65" s="50">
        <v>64</v>
      </c>
      <c r="B65" s="50" t="s">
        <v>95</v>
      </c>
      <c r="C65" s="50" t="s">
        <v>27</v>
      </c>
      <c r="D65" s="50" t="s">
        <v>17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163</v>
      </c>
      <c r="L65" s="76" t="s">
        <v>162</v>
      </c>
      <c r="N65" s="73"/>
      <c r="O65" s="73"/>
      <c r="P65" s="73"/>
    </row>
    <row r="66" spans="1:16" x14ac:dyDescent="0.2">
      <c r="A66" s="50">
        <v>65</v>
      </c>
      <c r="B66" s="50" t="s">
        <v>96</v>
      </c>
      <c r="C66" s="50" t="s">
        <v>25</v>
      </c>
      <c r="D66" s="50" t="s">
        <v>17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163</v>
      </c>
      <c r="L66" s="76" t="s">
        <v>162</v>
      </c>
      <c r="N66" s="73"/>
      <c r="O66" s="73"/>
      <c r="P66" s="73"/>
    </row>
    <row r="67" spans="1:16" x14ac:dyDescent="0.2">
      <c r="A67" s="50">
        <v>66</v>
      </c>
      <c r="B67" s="50" t="s">
        <v>97</v>
      </c>
      <c r="C67" s="50" t="s">
        <v>27</v>
      </c>
      <c r="D67" s="50" t="s">
        <v>17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164</v>
      </c>
      <c r="L67" s="76" t="s">
        <v>162</v>
      </c>
      <c r="N67" s="73"/>
      <c r="O67" s="73"/>
      <c r="P67" s="73"/>
    </row>
    <row r="68" spans="1:16" x14ac:dyDescent="0.2">
      <c r="A68" s="50">
        <v>67</v>
      </c>
      <c r="B68" s="50" t="s">
        <v>98</v>
      </c>
      <c r="C68" s="50" t="s">
        <v>27</v>
      </c>
      <c r="D68" s="50" t="s">
        <v>17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165</v>
      </c>
      <c r="L68" s="76" t="s">
        <v>162</v>
      </c>
      <c r="N68" s="73"/>
      <c r="O68" s="73"/>
      <c r="P68" s="73"/>
    </row>
    <row r="69" spans="1:16" x14ac:dyDescent="0.2">
      <c r="A69" s="50">
        <v>68</v>
      </c>
      <c r="B69" s="50" t="s">
        <v>99</v>
      </c>
      <c r="C69" s="50" t="s">
        <v>27</v>
      </c>
      <c r="D69" s="50" t="s">
        <v>17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166</v>
      </c>
      <c r="L69" s="76" t="s">
        <v>162</v>
      </c>
      <c r="N69" s="73"/>
      <c r="O69" s="73"/>
      <c r="P69" s="73"/>
    </row>
    <row r="70" spans="1:16" x14ac:dyDescent="0.2">
      <c r="A70" s="50">
        <v>69</v>
      </c>
      <c r="B70" s="50" t="s">
        <v>100</v>
      </c>
      <c r="C70" s="50" t="s">
        <v>69</v>
      </c>
      <c r="D70" s="50" t="s">
        <v>17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167</v>
      </c>
      <c r="L70" s="76" t="s">
        <v>162</v>
      </c>
      <c r="N70" s="73"/>
      <c r="O70" s="73"/>
      <c r="P70" s="73"/>
    </row>
    <row r="71" spans="1:16" x14ac:dyDescent="0.2">
      <c r="A71" s="50">
        <v>70</v>
      </c>
      <c r="B71" s="50" t="s">
        <v>101</v>
      </c>
      <c r="C71" s="50" t="s">
        <v>21</v>
      </c>
      <c r="D71" s="50" t="s">
        <v>17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168</v>
      </c>
      <c r="L71" s="76" t="s">
        <v>162</v>
      </c>
      <c r="N71" s="73"/>
      <c r="O71" s="73"/>
      <c r="P71" s="73"/>
    </row>
    <row r="72" spans="1:16" x14ac:dyDescent="0.2">
      <c r="A72" s="50">
        <v>71</v>
      </c>
      <c r="B72" s="50" t="s">
        <v>102</v>
      </c>
      <c r="C72" s="50" t="s">
        <v>27</v>
      </c>
      <c r="D72" s="50" t="s">
        <v>17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169</v>
      </c>
      <c r="L72" s="76" t="s">
        <v>162</v>
      </c>
      <c r="N72" s="73"/>
      <c r="O72" s="73"/>
      <c r="P72" s="73"/>
    </row>
    <row r="73" spans="1:16" x14ac:dyDescent="0.2">
      <c r="A73" s="50">
        <v>72</v>
      </c>
      <c r="B73" s="50" t="s">
        <v>383</v>
      </c>
      <c r="C73" s="50" t="s">
        <v>38</v>
      </c>
      <c r="D73" s="50" t="s">
        <v>17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170</v>
      </c>
      <c r="L73" s="76" t="s">
        <v>162</v>
      </c>
      <c r="N73" s="73"/>
      <c r="O73" s="73"/>
      <c r="P73" s="73"/>
    </row>
    <row r="74" spans="1:16" x14ac:dyDescent="0.2">
      <c r="A74" s="50">
        <v>73</v>
      </c>
      <c r="B74" s="50" t="s">
        <v>384</v>
      </c>
      <c r="C74" s="50" t="s">
        <v>27</v>
      </c>
      <c r="D74" s="50" t="s">
        <v>17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171</v>
      </c>
      <c r="L74" s="76" t="s">
        <v>162</v>
      </c>
      <c r="N74" s="73"/>
      <c r="O74" s="73"/>
      <c r="P74" s="73"/>
    </row>
    <row r="75" spans="1:16" x14ac:dyDescent="0.2">
      <c r="A75" s="50">
        <v>74</v>
      </c>
      <c r="B75" s="50" t="s">
        <v>385</v>
      </c>
      <c r="C75" s="50" t="s">
        <v>36</v>
      </c>
      <c r="D75" s="50" t="s">
        <v>17</v>
      </c>
      <c r="E75" s="50">
        <v>10576</v>
      </c>
      <c r="F75" s="62">
        <f ca="1">RANDBETWEEN(1000000000,9999999999)</f>
        <v>5117205455</v>
      </c>
      <c r="G75" s="50" t="str">
        <f t="shared" si="1"/>
        <v>30 HONEY RD POUND ROAD NY 10576</v>
      </c>
      <c r="J75" s="76">
        <v>74</v>
      </c>
      <c r="K75" s="76" t="s">
        <v>172</v>
      </c>
      <c r="L75" s="76" t="s">
        <v>162</v>
      </c>
      <c r="N75" s="73"/>
      <c r="O75" s="73"/>
      <c r="P75" s="73"/>
    </row>
    <row r="76" spans="1:16" x14ac:dyDescent="0.2">
      <c r="A76" s="50">
        <v>75</v>
      </c>
      <c r="B76" s="50" t="s">
        <v>386</v>
      </c>
      <c r="C76" s="50" t="s">
        <v>49</v>
      </c>
      <c r="D76" s="50" t="s">
        <v>17</v>
      </c>
      <c r="E76" s="50">
        <v>10507</v>
      </c>
      <c r="F76" s="62">
        <f t="shared" ref="F76:F95" ca="1" si="2">RANDBETWEEN(1000000000,9999999999)</f>
        <v>3144913945</v>
      </c>
      <c r="G76" s="50" t="str">
        <f t="shared" si="1"/>
        <v>200 BARBIT RD BEDFORD HILLS NY 10507</v>
      </c>
      <c r="J76" s="76">
        <v>75</v>
      </c>
      <c r="K76" s="76" t="s">
        <v>173</v>
      </c>
      <c r="L76" s="76" t="s">
        <v>162</v>
      </c>
      <c r="N76" s="73"/>
      <c r="O76" s="73"/>
      <c r="P76" s="73"/>
    </row>
    <row r="77" spans="1:16" x14ac:dyDescent="0.2">
      <c r="A77" s="50">
        <v>76</v>
      </c>
      <c r="B77" s="50" t="s">
        <v>387</v>
      </c>
      <c r="C77" s="50" t="s">
        <v>63</v>
      </c>
      <c r="D77" s="50" t="s">
        <v>17</v>
      </c>
      <c r="E77" s="50">
        <v>10514</v>
      </c>
      <c r="F77" s="62">
        <f t="shared" ca="1" si="2"/>
        <v>9678612031</v>
      </c>
      <c r="G77" s="50" t="str">
        <f t="shared" si="1"/>
        <v>260 PINES LN CHAPQUA NY 10514</v>
      </c>
      <c r="J77" s="76">
        <v>76</v>
      </c>
      <c r="K77" s="76" t="s">
        <v>174</v>
      </c>
      <c r="L77" s="76" t="s">
        <v>162</v>
      </c>
      <c r="N77" s="73"/>
      <c r="O77" s="73"/>
      <c r="P77" s="73"/>
    </row>
    <row r="78" spans="1:16" x14ac:dyDescent="0.2">
      <c r="A78" s="50">
        <v>77</v>
      </c>
      <c r="B78" s="50" t="s">
        <v>388</v>
      </c>
      <c r="C78" s="50" t="s">
        <v>49</v>
      </c>
      <c r="D78" s="50" t="s">
        <v>17</v>
      </c>
      <c r="E78" s="50">
        <v>10507</v>
      </c>
      <c r="F78" s="62">
        <f t="shared" ca="1" si="2"/>
        <v>3967666242</v>
      </c>
      <c r="G78" s="50" t="str">
        <f t="shared" si="1"/>
        <v>126 ROME AVE BEDFORD HILLS NY 10507</v>
      </c>
      <c r="J78" s="76">
        <v>77</v>
      </c>
      <c r="K78" s="76" t="s">
        <v>175</v>
      </c>
      <c r="L78" s="76" t="s">
        <v>162</v>
      </c>
      <c r="N78" s="73"/>
      <c r="O78" s="73"/>
      <c r="P78" s="73"/>
    </row>
    <row r="79" spans="1:16" x14ac:dyDescent="0.2">
      <c r="A79" s="50">
        <v>78</v>
      </c>
      <c r="B79" s="50" t="s">
        <v>389</v>
      </c>
      <c r="C79" s="50" t="s">
        <v>49</v>
      </c>
      <c r="D79" s="50" t="s">
        <v>17</v>
      </c>
      <c r="E79" s="50">
        <v>10549</v>
      </c>
      <c r="F79" s="62">
        <f t="shared" ca="1" si="2"/>
        <v>4843926384</v>
      </c>
      <c r="G79" s="50" t="str">
        <f t="shared" si="1"/>
        <v>70 MILAN AVE BEDFORD HILLS NY 10549</v>
      </c>
      <c r="J79" s="76">
        <v>78</v>
      </c>
      <c r="K79" s="76" t="s">
        <v>176</v>
      </c>
      <c r="L79" s="76" t="s">
        <v>162</v>
      </c>
      <c r="N79" s="73"/>
      <c r="O79" s="73"/>
      <c r="P79" s="73"/>
    </row>
    <row r="80" spans="1:16" x14ac:dyDescent="0.2">
      <c r="A80" s="50">
        <v>79</v>
      </c>
      <c r="B80" s="50" t="s">
        <v>390</v>
      </c>
      <c r="C80" s="50" t="s">
        <v>27</v>
      </c>
      <c r="D80" s="50" t="s">
        <v>17</v>
      </c>
      <c r="E80" s="50">
        <v>10549</v>
      </c>
      <c r="F80" s="62">
        <f t="shared" ca="1" si="2"/>
        <v>4646830563</v>
      </c>
      <c r="G80" s="50" t="str">
        <f t="shared" si="1"/>
        <v>40 DIPLOMAT DR MOUNTKISCO NY 10549</v>
      </c>
      <c r="J80" s="76">
        <v>79</v>
      </c>
      <c r="K80" s="76" t="s">
        <v>177</v>
      </c>
      <c r="L80" s="76" t="s">
        <v>162</v>
      </c>
      <c r="N80" s="73"/>
      <c r="O80" s="73"/>
      <c r="P80" s="73"/>
    </row>
    <row r="81" spans="1:16" x14ac:dyDescent="0.2">
      <c r="A81" s="50">
        <v>80</v>
      </c>
      <c r="B81" s="50" t="s">
        <v>391</v>
      </c>
      <c r="C81" s="50" t="s">
        <v>21</v>
      </c>
      <c r="D81" s="50" t="s">
        <v>17</v>
      </c>
      <c r="E81" s="50">
        <v>10080</v>
      </c>
      <c r="F81" s="62">
        <f t="shared" ca="1" si="2"/>
        <v>4505608818</v>
      </c>
      <c r="G81" s="50" t="str">
        <f t="shared" si="1"/>
        <v>311 MAPPLE ST NEW YORK HILLS NY 10080</v>
      </c>
      <c r="J81" s="77">
        <v>80</v>
      </c>
      <c r="K81" s="77" t="s">
        <v>178</v>
      </c>
      <c r="L81" s="77" t="s">
        <v>112</v>
      </c>
      <c r="N81" s="73"/>
      <c r="O81" s="73"/>
      <c r="P81" s="73"/>
    </row>
    <row r="82" spans="1:16" x14ac:dyDescent="0.2">
      <c r="A82" s="50">
        <v>81</v>
      </c>
      <c r="B82" s="50" t="s">
        <v>392</v>
      </c>
      <c r="C82" s="50" t="s">
        <v>25</v>
      </c>
      <c r="D82" s="50" t="s">
        <v>17</v>
      </c>
      <c r="E82" s="50">
        <v>10549</v>
      </c>
      <c r="F82" s="62">
        <f t="shared" ca="1" si="2"/>
        <v>7798906939</v>
      </c>
      <c r="G82" s="50" t="str">
        <f t="shared" si="1"/>
        <v>35 MAIN ST BREWSTER NY 10549</v>
      </c>
      <c r="J82" s="77">
        <v>81</v>
      </c>
      <c r="K82" s="77" t="s">
        <v>179</v>
      </c>
      <c r="L82" s="77" t="s">
        <v>112</v>
      </c>
      <c r="N82" s="73"/>
      <c r="O82" s="73"/>
      <c r="P82" s="73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62">
        <f t="shared" ca="1" si="2"/>
        <v>3377492520</v>
      </c>
      <c r="G83" s="50" t="str">
        <f t="shared" si="1"/>
        <v>708 HURST BLVD HURST FX 70053</v>
      </c>
      <c r="J83" s="77">
        <v>82</v>
      </c>
      <c r="K83" s="77" t="s">
        <v>180</v>
      </c>
      <c r="L83" s="77" t="s">
        <v>112</v>
      </c>
      <c r="N83" s="73"/>
      <c r="O83" s="73"/>
      <c r="P83" s="73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62">
        <f t="shared" ca="1" si="2"/>
        <v>2235278617</v>
      </c>
      <c r="G84" s="50" t="str">
        <f t="shared" si="1"/>
        <v>824 SUDNEY ST VALLEY AL 36824</v>
      </c>
      <c r="J84" s="77">
        <v>83</v>
      </c>
      <c r="K84" s="77" t="s">
        <v>181</v>
      </c>
      <c r="L84" s="77" t="s">
        <v>112</v>
      </c>
      <c r="N84" s="73"/>
      <c r="O84" s="73"/>
      <c r="P84" s="73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62">
        <f t="shared" ca="1" si="2"/>
        <v>2272462011</v>
      </c>
      <c r="G85" s="50" t="str">
        <f t="shared" si="1"/>
        <v>2124 JOHNSTON DR. APT 10 BETHLEHEM PA 18020</v>
      </c>
      <c r="J85" s="77">
        <v>84</v>
      </c>
      <c r="K85" s="77" t="s">
        <v>182</v>
      </c>
      <c r="L85" s="77" t="s">
        <v>112</v>
      </c>
      <c r="N85" s="73"/>
      <c r="O85" s="73"/>
      <c r="P85" s="73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62">
        <f t="shared" ca="1" si="2"/>
        <v>4469996436</v>
      </c>
      <c r="G86" s="50" t="str">
        <f t="shared" si="1"/>
        <v>13357 BURBANK BLV APT 6 VANNVYS CA 91401</v>
      </c>
      <c r="J86" s="77">
        <v>85</v>
      </c>
      <c r="K86" s="77" t="s">
        <v>183</v>
      </c>
      <c r="L86" s="77" t="s">
        <v>112</v>
      </c>
      <c r="N86" s="73"/>
      <c r="O86" s="73"/>
      <c r="P86" s="73"/>
    </row>
    <row r="87" spans="1:16" x14ac:dyDescent="0.2">
      <c r="A87" s="50">
        <v>86</v>
      </c>
      <c r="B87" s="50" t="s">
        <v>409</v>
      </c>
      <c r="C87" s="50" t="s">
        <v>27</v>
      </c>
      <c r="D87" s="50" t="s">
        <v>17</v>
      </c>
      <c r="E87" s="50">
        <v>10544</v>
      </c>
      <c r="F87" s="62">
        <f t="shared" ca="1" si="2"/>
        <v>2763584403</v>
      </c>
      <c r="G87" s="50" t="str">
        <f t="shared" si="1"/>
        <v>177 LEXINGTON AVE MOUNTKISCO NY 10544</v>
      </c>
      <c r="J87" s="77">
        <v>86</v>
      </c>
      <c r="K87" s="77" t="s">
        <v>184</v>
      </c>
      <c r="L87" s="77" t="s">
        <v>112</v>
      </c>
      <c r="N87" s="73"/>
      <c r="O87" s="73"/>
      <c r="P87" s="73"/>
    </row>
    <row r="88" spans="1:16" x14ac:dyDescent="0.2">
      <c r="A88" s="50">
        <v>87</v>
      </c>
      <c r="B88" s="50" t="s">
        <v>411</v>
      </c>
      <c r="C88" s="50" t="s">
        <v>25</v>
      </c>
      <c r="D88" s="50" t="s">
        <v>17</v>
      </c>
      <c r="E88" s="50">
        <v>10509</v>
      </c>
      <c r="F88" s="62">
        <f t="shared" ca="1" si="2"/>
        <v>5316756669</v>
      </c>
      <c r="G88" s="50" t="str">
        <f t="shared" si="1"/>
        <v>992 ROUTE 22 BREWSTER NY 10509</v>
      </c>
      <c r="J88" s="77">
        <v>87</v>
      </c>
      <c r="K88" s="77" t="s">
        <v>185</v>
      </c>
      <c r="L88" s="77" t="s">
        <v>112</v>
      </c>
      <c r="N88" s="73"/>
      <c r="O88" s="73"/>
      <c r="P88" s="73"/>
    </row>
    <row r="89" spans="1:16" x14ac:dyDescent="0.2">
      <c r="A89" s="50">
        <v>88</v>
      </c>
      <c r="B89" s="50" t="s">
        <v>412</v>
      </c>
      <c r="C89" s="50" t="s">
        <v>410</v>
      </c>
      <c r="D89" s="50" t="s">
        <v>17</v>
      </c>
      <c r="E89" s="50">
        <v>10562</v>
      </c>
      <c r="F89" s="62">
        <f t="shared" ca="1" si="2"/>
        <v>4832503071</v>
      </c>
      <c r="G89" s="50" t="str">
        <f t="shared" si="1"/>
        <v>62 N HIGHLAND AVE OSSINING NY 10562</v>
      </c>
      <c r="J89" s="77">
        <v>88</v>
      </c>
      <c r="K89" s="77" t="s">
        <v>186</v>
      </c>
      <c r="L89" s="77" t="s">
        <v>112</v>
      </c>
      <c r="N89" s="73"/>
      <c r="O89" s="73"/>
      <c r="P89" s="73"/>
    </row>
    <row r="90" spans="1:16" x14ac:dyDescent="0.2">
      <c r="A90" s="50">
        <v>89</v>
      </c>
      <c r="B90" s="50" t="s">
        <v>413</v>
      </c>
      <c r="C90" s="50" t="s">
        <v>414</v>
      </c>
      <c r="D90" s="50" t="s">
        <v>17</v>
      </c>
      <c r="E90" s="50">
        <v>12401</v>
      </c>
      <c r="F90" s="62">
        <f t="shared" ca="1" si="2"/>
        <v>6363169963</v>
      </c>
      <c r="G90" s="50" t="str">
        <f t="shared" si="1"/>
        <v>686 BRADWAY KINGSTON NY 12401</v>
      </c>
      <c r="J90" s="77">
        <v>89</v>
      </c>
      <c r="K90" s="77" t="s">
        <v>187</v>
      </c>
      <c r="L90" s="77" t="s">
        <v>112</v>
      </c>
      <c r="N90" s="73"/>
      <c r="O90" s="73"/>
      <c r="P90" s="73"/>
    </row>
    <row r="91" spans="1:16" x14ac:dyDescent="0.2">
      <c r="A91" s="50">
        <v>90</v>
      </c>
      <c r="B91" s="50" t="s">
        <v>415</v>
      </c>
      <c r="C91" s="50" t="s">
        <v>416</v>
      </c>
      <c r="D91" s="50" t="s">
        <v>17</v>
      </c>
      <c r="E91" s="78" t="s">
        <v>426</v>
      </c>
      <c r="F91" s="62">
        <f t="shared" ca="1" si="2"/>
        <v>6279561376</v>
      </c>
      <c r="G91" s="50" t="str">
        <f t="shared" si="1"/>
        <v>359 SOMERSET ST NORTH PLAINFIELD (NJ) NY 07060</v>
      </c>
      <c r="J91" s="77">
        <v>90</v>
      </c>
      <c r="K91" s="77" t="s">
        <v>188</v>
      </c>
      <c r="L91" s="77" t="s">
        <v>112</v>
      </c>
      <c r="N91" s="73"/>
      <c r="O91" s="73"/>
      <c r="P91" s="73"/>
    </row>
    <row r="92" spans="1:16" x14ac:dyDescent="0.2">
      <c r="A92" s="50">
        <v>91</v>
      </c>
      <c r="B92" s="50" t="s">
        <v>418</v>
      </c>
      <c r="C92" s="50" t="s">
        <v>417</v>
      </c>
      <c r="D92" s="50" t="s">
        <v>17</v>
      </c>
      <c r="E92" s="50">
        <v>10977</v>
      </c>
      <c r="F92" s="62">
        <f t="shared" ca="1" si="2"/>
        <v>5838209037</v>
      </c>
      <c r="G92" s="50" t="str">
        <f t="shared" si="1"/>
        <v>28 S MAIN ST SPRING VALLEY NY 10977</v>
      </c>
      <c r="J92" s="77">
        <v>91</v>
      </c>
      <c r="K92" s="77" t="s">
        <v>189</v>
      </c>
      <c r="L92" s="77" t="s">
        <v>112</v>
      </c>
      <c r="N92" s="73"/>
      <c r="O92" s="73"/>
      <c r="P92" s="73"/>
    </row>
    <row r="93" spans="1:16" x14ac:dyDescent="0.2">
      <c r="A93" s="50">
        <v>92</v>
      </c>
      <c r="B93" s="50" t="s">
        <v>420</v>
      </c>
      <c r="C93" s="50" t="s">
        <v>419</v>
      </c>
      <c r="D93" s="50" t="s">
        <v>17</v>
      </c>
      <c r="E93" s="50">
        <v>11520</v>
      </c>
      <c r="F93" s="62">
        <f t="shared" ca="1" si="2"/>
        <v>3814335549</v>
      </c>
      <c r="G93" s="50" t="str">
        <f t="shared" si="1"/>
        <v>282 N MAIN ST FREEPORT NY 11520</v>
      </c>
      <c r="J93" s="77">
        <v>92</v>
      </c>
      <c r="K93" s="77" t="s">
        <v>190</v>
      </c>
      <c r="L93" s="77" t="s">
        <v>112</v>
      </c>
      <c r="N93" s="73"/>
      <c r="O93" s="73"/>
      <c r="P93" s="73"/>
    </row>
    <row r="94" spans="1:16" x14ac:dyDescent="0.2">
      <c r="A94" s="50">
        <v>93</v>
      </c>
      <c r="B94" s="50" t="s">
        <v>421</v>
      </c>
      <c r="C94" s="50" t="s">
        <v>422</v>
      </c>
      <c r="D94" s="50" t="s">
        <v>17</v>
      </c>
      <c r="E94" s="50">
        <v>10566</v>
      </c>
      <c r="F94" s="62">
        <f t="shared" ca="1" si="2"/>
        <v>8793450092</v>
      </c>
      <c r="G94" s="50" t="str">
        <f t="shared" si="1"/>
        <v>901 MAIN ST, 800 PEEKSKILL NY 10566</v>
      </c>
      <c r="J94" s="77">
        <v>93</v>
      </c>
      <c r="K94" s="77" t="s">
        <v>191</v>
      </c>
      <c r="L94" s="77" t="s">
        <v>112</v>
      </c>
      <c r="N94" s="73"/>
      <c r="O94" s="73"/>
      <c r="P94" s="73"/>
    </row>
    <row r="95" spans="1:16" x14ac:dyDescent="0.2">
      <c r="A95" s="50">
        <v>94</v>
      </c>
      <c r="B95" s="50" t="s">
        <v>423</v>
      </c>
      <c r="C95" s="50" t="s">
        <v>424</v>
      </c>
      <c r="D95" s="50" t="s">
        <v>425</v>
      </c>
      <c r="E95" s="78" t="s">
        <v>427</v>
      </c>
      <c r="F95" s="62">
        <f t="shared" ca="1" si="2"/>
        <v>4183168676</v>
      </c>
      <c r="G95" s="50" t="str">
        <f t="shared" si="1"/>
        <v>24 ELM ST DANBURY CT 06810</v>
      </c>
      <c r="J95" s="77">
        <v>94</v>
      </c>
      <c r="K95" s="77" t="s">
        <v>192</v>
      </c>
      <c r="L95" s="77" t="s">
        <v>112</v>
      </c>
      <c r="N95" s="73"/>
      <c r="O95" s="73"/>
      <c r="P95" s="73"/>
    </row>
    <row r="96" spans="1:16" x14ac:dyDescent="0.2">
      <c r="J96" s="79">
        <v>95</v>
      </c>
      <c r="K96" s="79" t="s">
        <v>193</v>
      </c>
      <c r="L96" s="79" t="s">
        <v>270</v>
      </c>
      <c r="N96" s="73"/>
      <c r="O96" s="73"/>
      <c r="P96" s="73"/>
    </row>
    <row r="97" spans="10:16" x14ac:dyDescent="0.2">
      <c r="J97" s="79">
        <v>96</v>
      </c>
      <c r="K97" s="79" t="s">
        <v>194</v>
      </c>
      <c r="L97" s="79" t="s">
        <v>270</v>
      </c>
      <c r="N97" s="73"/>
      <c r="O97" s="73"/>
      <c r="P97" s="73"/>
    </row>
    <row r="98" spans="10:16" x14ac:dyDescent="0.2">
      <c r="J98" s="79">
        <v>97</v>
      </c>
      <c r="K98" s="79" t="s">
        <v>195</v>
      </c>
      <c r="L98" s="79" t="s">
        <v>270</v>
      </c>
      <c r="N98" s="73"/>
      <c r="O98" s="73"/>
      <c r="P98" s="73"/>
    </row>
    <row r="99" spans="10:16" x14ac:dyDescent="0.2">
      <c r="J99" s="79">
        <v>98</v>
      </c>
      <c r="K99" s="79" t="s">
        <v>196</v>
      </c>
      <c r="L99" s="79" t="s">
        <v>270</v>
      </c>
      <c r="N99" s="73"/>
      <c r="O99" s="73"/>
      <c r="P99" s="73"/>
    </row>
    <row r="100" spans="10:16" x14ac:dyDescent="0.2">
      <c r="J100" s="79">
        <v>99</v>
      </c>
      <c r="K100" s="79" t="s">
        <v>197</v>
      </c>
      <c r="L100" s="79" t="s">
        <v>270</v>
      </c>
      <c r="N100" s="73"/>
      <c r="O100" s="73"/>
      <c r="P100" s="73"/>
    </row>
    <row r="101" spans="10:16" x14ac:dyDescent="0.2">
      <c r="J101" s="79">
        <v>100</v>
      </c>
      <c r="K101" s="79" t="s">
        <v>198</v>
      </c>
      <c r="L101" s="79" t="s">
        <v>270</v>
      </c>
      <c r="N101" s="73"/>
      <c r="O101" s="73"/>
      <c r="P101" s="73"/>
    </row>
    <row r="102" spans="10:16" x14ac:dyDescent="0.2">
      <c r="J102" s="79">
        <v>101</v>
      </c>
      <c r="K102" s="79" t="s">
        <v>199</v>
      </c>
      <c r="L102" s="79" t="s">
        <v>270</v>
      </c>
      <c r="N102" s="73"/>
      <c r="O102" s="73"/>
      <c r="P102" s="73"/>
    </row>
    <row r="103" spans="10:16" x14ac:dyDescent="0.2">
      <c r="J103" s="79">
        <v>102</v>
      </c>
      <c r="K103" s="79" t="s">
        <v>200</v>
      </c>
      <c r="L103" s="79" t="s">
        <v>270</v>
      </c>
      <c r="N103" s="73"/>
      <c r="O103" s="73"/>
      <c r="P103" s="73"/>
    </row>
    <row r="104" spans="10:16" x14ac:dyDescent="0.2">
      <c r="J104" s="79">
        <v>103</v>
      </c>
      <c r="K104" s="79" t="s">
        <v>201</v>
      </c>
      <c r="L104" s="79" t="s">
        <v>270</v>
      </c>
      <c r="N104" s="73"/>
      <c r="O104" s="73"/>
      <c r="P104" s="73"/>
    </row>
    <row r="105" spans="10:16" x14ac:dyDescent="0.2">
      <c r="J105" s="79">
        <v>104</v>
      </c>
      <c r="K105" s="79" t="s">
        <v>202</v>
      </c>
      <c r="L105" s="79" t="s">
        <v>270</v>
      </c>
      <c r="N105" s="73"/>
      <c r="O105" s="73"/>
      <c r="P105" s="73"/>
    </row>
    <row r="106" spans="10:16" x14ac:dyDescent="0.2">
      <c r="J106" s="79">
        <v>105</v>
      </c>
      <c r="K106" s="79" t="s">
        <v>203</v>
      </c>
      <c r="L106" s="79" t="s">
        <v>270</v>
      </c>
      <c r="N106" s="73"/>
      <c r="O106" s="73"/>
      <c r="P106" s="73"/>
    </row>
    <row r="107" spans="10:16" x14ac:dyDescent="0.2">
      <c r="J107" s="79">
        <v>106</v>
      </c>
      <c r="K107" s="79" t="s">
        <v>204</v>
      </c>
      <c r="L107" s="79" t="s">
        <v>270</v>
      </c>
      <c r="N107" s="73"/>
      <c r="O107" s="73"/>
      <c r="P107" s="73"/>
    </row>
    <row r="108" spans="10:16" x14ac:dyDescent="0.2">
      <c r="J108" s="79">
        <v>107</v>
      </c>
      <c r="K108" s="79" t="s">
        <v>205</v>
      </c>
      <c r="L108" s="79" t="s">
        <v>270</v>
      </c>
      <c r="N108" s="73"/>
      <c r="O108" s="73"/>
      <c r="P108" s="73"/>
    </row>
    <row r="109" spans="10:16" x14ac:dyDescent="0.2">
      <c r="J109" s="79">
        <v>108</v>
      </c>
      <c r="K109" s="79" t="s">
        <v>206</v>
      </c>
      <c r="L109" s="79" t="s">
        <v>270</v>
      </c>
      <c r="N109" s="73"/>
      <c r="O109" s="73"/>
      <c r="P109" s="73"/>
    </row>
    <row r="110" spans="10:16" x14ac:dyDescent="0.2">
      <c r="J110" s="79">
        <v>109</v>
      </c>
      <c r="K110" s="79" t="s">
        <v>207</v>
      </c>
      <c r="L110" s="79" t="s">
        <v>270</v>
      </c>
      <c r="N110" s="73"/>
      <c r="O110" s="73"/>
      <c r="P110" s="73"/>
    </row>
    <row r="111" spans="10:16" x14ac:dyDescent="0.2">
      <c r="J111" s="79">
        <v>110</v>
      </c>
      <c r="K111" s="79" t="s">
        <v>208</v>
      </c>
      <c r="L111" s="79" t="s">
        <v>270</v>
      </c>
      <c r="N111" s="73"/>
      <c r="O111" s="73"/>
      <c r="P111" s="73"/>
    </row>
    <row r="112" spans="10:16" x14ac:dyDescent="0.2">
      <c r="J112" s="79">
        <v>111</v>
      </c>
      <c r="K112" s="79" t="s">
        <v>209</v>
      </c>
      <c r="L112" s="79" t="s">
        <v>270</v>
      </c>
      <c r="N112" s="73"/>
      <c r="O112" s="73"/>
      <c r="P112" s="73"/>
    </row>
    <row r="113" spans="10:16" x14ac:dyDescent="0.2">
      <c r="J113" s="79">
        <v>112</v>
      </c>
      <c r="K113" s="79" t="s">
        <v>210</v>
      </c>
      <c r="L113" s="79" t="s">
        <v>270</v>
      </c>
      <c r="N113" s="73"/>
      <c r="O113" s="73"/>
      <c r="P113" s="73"/>
    </row>
    <row r="114" spans="10:16" x14ac:dyDescent="0.2">
      <c r="J114" s="79">
        <v>113</v>
      </c>
      <c r="K114" s="79" t="s">
        <v>296</v>
      </c>
      <c r="L114" s="79" t="s">
        <v>270</v>
      </c>
      <c r="N114" s="73"/>
      <c r="O114" s="73"/>
      <c r="P114" s="73"/>
    </row>
    <row r="115" spans="10:16" x14ac:dyDescent="0.2">
      <c r="J115" s="79">
        <v>114</v>
      </c>
      <c r="K115" s="79" t="s">
        <v>297</v>
      </c>
      <c r="L115" s="79" t="s">
        <v>270</v>
      </c>
      <c r="N115" s="73"/>
      <c r="O115" s="73"/>
      <c r="P115" s="73"/>
    </row>
    <row r="116" spans="10:16" x14ac:dyDescent="0.2">
      <c r="J116" s="79">
        <v>115</v>
      </c>
      <c r="K116" s="79" t="s">
        <v>298</v>
      </c>
      <c r="L116" s="79" t="s">
        <v>270</v>
      </c>
      <c r="N116" s="73"/>
      <c r="O116" s="73"/>
      <c r="P116" s="73"/>
    </row>
    <row r="117" spans="10:16" x14ac:dyDescent="0.2">
      <c r="J117" s="79">
        <v>116</v>
      </c>
      <c r="K117" s="79" t="s">
        <v>299</v>
      </c>
      <c r="L117" s="79" t="s">
        <v>270</v>
      </c>
      <c r="N117" s="73"/>
      <c r="O117" s="73"/>
      <c r="P117" s="73"/>
    </row>
    <row r="118" spans="10:16" x14ac:dyDescent="0.2">
      <c r="J118" s="79">
        <v>117</v>
      </c>
      <c r="K118" s="79" t="s">
        <v>314</v>
      </c>
      <c r="L118" s="79" t="s">
        <v>270</v>
      </c>
      <c r="N118" s="73"/>
      <c r="O118" s="73"/>
      <c r="P118" s="73"/>
    </row>
    <row r="119" spans="10:16" x14ac:dyDescent="0.2">
      <c r="J119" s="73">
        <v>118</v>
      </c>
      <c r="K119" s="73" t="s">
        <v>211</v>
      </c>
      <c r="L119" s="73" t="s">
        <v>271</v>
      </c>
      <c r="N119" s="73"/>
      <c r="O119" s="73"/>
      <c r="P119" s="73"/>
    </row>
    <row r="120" spans="10:16" x14ac:dyDescent="0.2">
      <c r="J120" s="73">
        <v>119</v>
      </c>
      <c r="K120" s="73" t="s">
        <v>212</v>
      </c>
      <c r="L120" s="73" t="s">
        <v>271</v>
      </c>
      <c r="N120" s="73"/>
      <c r="O120" s="73"/>
      <c r="P120" s="73"/>
    </row>
    <row r="121" spans="10:16" x14ac:dyDescent="0.2">
      <c r="J121" s="73">
        <v>120</v>
      </c>
      <c r="K121" s="73" t="s">
        <v>213</v>
      </c>
      <c r="L121" s="73" t="s">
        <v>271</v>
      </c>
      <c r="N121" s="73"/>
      <c r="O121" s="73"/>
      <c r="P121" s="73"/>
    </row>
    <row r="122" spans="10:16" x14ac:dyDescent="0.2">
      <c r="J122" s="73">
        <v>121</v>
      </c>
      <c r="K122" s="73" t="s">
        <v>214</v>
      </c>
      <c r="L122" s="73" t="s">
        <v>271</v>
      </c>
      <c r="N122" s="73"/>
      <c r="O122" s="73"/>
      <c r="P122" s="73"/>
    </row>
    <row r="123" spans="10:16" x14ac:dyDescent="0.2">
      <c r="J123" s="73">
        <v>122</v>
      </c>
      <c r="K123" s="73" t="s">
        <v>215</v>
      </c>
      <c r="L123" s="73" t="s">
        <v>271</v>
      </c>
      <c r="N123" s="73"/>
      <c r="O123" s="73"/>
      <c r="P123" s="73"/>
    </row>
    <row r="124" spans="10:16" x14ac:dyDescent="0.2">
      <c r="J124" s="73">
        <v>123</v>
      </c>
      <c r="K124" s="73" t="s">
        <v>216</v>
      </c>
      <c r="L124" s="73" t="s">
        <v>271</v>
      </c>
      <c r="N124" s="73"/>
      <c r="O124" s="73"/>
      <c r="P124" s="73"/>
    </row>
    <row r="125" spans="10:16" x14ac:dyDescent="0.2">
      <c r="J125" s="73">
        <v>124</v>
      </c>
      <c r="K125" s="73" t="s">
        <v>217</v>
      </c>
      <c r="L125" s="73" t="s">
        <v>271</v>
      </c>
      <c r="N125" s="73"/>
      <c r="O125" s="73"/>
      <c r="P125" s="73"/>
    </row>
    <row r="126" spans="10:16" x14ac:dyDescent="0.2">
      <c r="J126" s="73">
        <v>125</v>
      </c>
      <c r="K126" s="73" t="s">
        <v>218</v>
      </c>
      <c r="L126" s="73" t="s">
        <v>271</v>
      </c>
      <c r="N126" s="73"/>
      <c r="O126" s="73"/>
      <c r="P126" s="73"/>
    </row>
    <row r="127" spans="10:16" x14ac:dyDescent="0.2">
      <c r="J127" s="73">
        <v>126</v>
      </c>
      <c r="K127" s="73" t="s">
        <v>219</v>
      </c>
      <c r="L127" s="73" t="s">
        <v>271</v>
      </c>
      <c r="N127" s="73"/>
      <c r="O127" s="73"/>
      <c r="P127" s="73"/>
    </row>
    <row r="128" spans="10:16" x14ac:dyDescent="0.2">
      <c r="J128" s="73">
        <v>127</v>
      </c>
      <c r="K128" s="73" t="s">
        <v>220</v>
      </c>
      <c r="L128" s="73" t="s">
        <v>271</v>
      </c>
      <c r="N128" s="73"/>
      <c r="O128" s="73"/>
      <c r="P128" s="73"/>
    </row>
    <row r="129" spans="10:16" x14ac:dyDescent="0.2">
      <c r="J129" s="73">
        <v>128</v>
      </c>
      <c r="K129" s="73" t="s">
        <v>221</v>
      </c>
      <c r="L129" s="73" t="s">
        <v>271</v>
      </c>
      <c r="N129" s="73"/>
      <c r="O129" s="73"/>
      <c r="P129" s="73"/>
    </row>
    <row r="130" spans="10:16" x14ac:dyDescent="0.2">
      <c r="J130" s="73">
        <v>129</v>
      </c>
      <c r="K130" s="73" t="s">
        <v>222</v>
      </c>
      <c r="L130" s="73" t="s">
        <v>271</v>
      </c>
      <c r="N130" s="73"/>
      <c r="O130" s="73"/>
      <c r="P130" s="73"/>
    </row>
    <row r="131" spans="10:16" x14ac:dyDescent="0.2">
      <c r="J131" s="73">
        <v>130</v>
      </c>
      <c r="K131" s="73" t="s">
        <v>223</v>
      </c>
      <c r="L131" s="73" t="s">
        <v>271</v>
      </c>
      <c r="N131" s="73"/>
      <c r="O131" s="73"/>
      <c r="P131" s="73"/>
    </row>
    <row r="132" spans="10:16" x14ac:dyDescent="0.2">
      <c r="J132" s="73">
        <v>131</v>
      </c>
      <c r="K132" s="73" t="s">
        <v>224</v>
      </c>
      <c r="L132" s="73" t="s">
        <v>271</v>
      </c>
      <c r="N132" s="73"/>
      <c r="O132" s="73"/>
      <c r="P132" s="73"/>
    </row>
    <row r="133" spans="10:16" x14ac:dyDescent="0.2">
      <c r="J133" s="73">
        <v>132</v>
      </c>
      <c r="K133" s="73" t="s">
        <v>225</v>
      </c>
      <c r="L133" s="73" t="s">
        <v>271</v>
      </c>
      <c r="N133" s="73"/>
      <c r="O133" s="73"/>
      <c r="P133" s="73"/>
    </row>
    <row r="134" spans="10:16" x14ac:dyDescent="0.2">
      <c r="J134" s="73">
        <v>133</v>
      </c>
      <c r="K134" s="73" t="s">
        <v>226</v>
      </c>
      <c r="L134" s="73" t="s">
        <v>271</v>
      </c>
      <c r="N134" s="73"/>
      <c r="O134" s="73"/>
      <c r="P134" s="73"/>
    </row>
    <row r="135" spans="10:16" x14ac:dyDescent="0.2">
      <c r="J135" s="73">
        <v>134</v>
      </c>
      <c r="K135" s="73" t="s">
        <v>227</v>
      </c>
      <c r="L135" s="73" t="s">
        <v>271</v>
      </c>
      <c r="N135" s="73"/>
      <c r="O135" s="73"/>
      <c r="P135" s="73"/>
    </row>
    <row r="136" spans="10:16" x14ac:dyDescent="0.2">
      <c r="J136" s="73">
        <v>135</v>
      </c>
      <c r="K136" s="73" t="s">
        <v>228</v>
      </c>
      <c r="L136" s="73" t="s">
        <v>271</v>
      </c>
      <c r="N136" s="73"/>
      <c r="O136" s="73"/>
      <c r="P136" s="73"/>
    </row>
    <row r="137" spans="10:16" x14ac:dyDescent="0.2">
      <c r="J137" s="73">
        <v>136</v>
      </c>
      <c r="K137" s="73" t="s">
        <v>229</v>
      </c>
      <c r="L137" s="73" t="s">
        <v>271</v>
      </c>
      <c r="N137" s="73"/>
      <c r="O137" s="73"/>
      <c r="P137" s="73"/>
    </row>
    <row r="138" spans="10:16" x14ac:dyDescent="0.2">
      <c r="J138" s="80">
        <v>137</v>
      </c>
      <c r="K138" s="80" t="s">
        <v>230</v>
      </c>
      <c r="L138" s="80" t="s">
        <v>272</v>
      </c>
      <c r="N138" s="73"/>
      <c r="O138" s="73"/>
      <c r="P138" s="73"/>
    </row>
    <row r="139" spans="10:16" x14ac:dyDescent="0.2">
      <c r="J139" s="80">
        <v>138</v>
      </c>
      <c r="K139" s="80" t="s">
        <v>231</v>
      </c>
      <c r="L139" s="80" t="s">
        <v>272</v>
      </c>
      <c r="N139" s="73"/>
      <c r="O139" s="73"/>
      <c r="P139" s="73"/>
    </row>
    <row r="140" spans="10:16" x14ac:dyDescent="0.2">
      <c r="J140" s="80">
        <v>139</v>
      </c>
      <c r="K140" s="80" t="s">
        <v>232</v>
      </c>
      <c r="L140" s="80" t="s">
        <v>272</v>
      </c>
      <c r="N140" s="73"/>
      <c r="O140" s="73"/>
      <c r="P140" s="73"/>
    </row>
    <row r="141" spans="10:16" x14ac:dyDescent="0.2">
      <c r="J141" s="80">
        <v>140</v>
      </c>
      <c r="K141" s="80" t="s">
        <v>233</v>
      </c>
      <c r="L141" s="80" t="s">
        <v>272</v>
      </c>
      <c r="N141" s="73"/>
      <c r="O141" s="73"/>
      <c r="P141" s="73"/>
    </row>
    <row r="142" spans="10:16" x14ac:dyDescent="0.2">
      <c r="J142" s="80">
        <v>141</v>
      </c>
      <c r="K142" s="80" t="s">
        <v>234</v>
      </c>
      <c r="L142" s="80" t="s">
        <v>272</v>
      </c>
      <c r="N142" s="73"/>
      <c r="O142" s="73"/>
      <c r="P142" s="73"/>
    </row>
    <row r="143" spans="10:16" x14ac:dyDescent="0.2">
      <c r="J143" s="80">
        <v>142</v>
      </c>
      <c r="K143" s="80" t="s">
        <v>244</v>
      </c>
      <c r="L143" s="80" t="s">
        <v>272</v>
      </c>
      <c r="N143" s="73"/>
      <c r="O143" s="73"/>
      <c r="P143" s="73"/>
    </row>
    <row r="144" spans="10:16" x14ac:dyDescent="0.2">
      <c r="J144" s="80">
        <v>143</v>
      </c>
      <c r="K144" s="80" t="s">
        <v>245</v>
      </c>
      <c r="L144" s="80" t="s">
        <v>272</v>
      </c>
      <c r="N144" s="73"/>
      <c r="O144" s="73"/>
      <c r="P144" s="73"/>
    </row>
    <row r="145" spans="10:16" x14ac:dyDescent="0.2">
      <c r="J145" s="80">
        <v>144</v>
      </c>
      <c r="K145" s="80" t="s">
        <v>235</v>
      </c>
      <c r="L145" s="80" t="s">
        <v>272</v>
      </c>
      <c r="N145" s="73"/>
      <c r="O145" s="73"/>
      <c r="P145" s="73"/>
    </row>
    <row r="146" spans="10:16" x14ac:dyDescent="0.2">
      <c r="J146" s="80">
        <v>145</v>
      </c>
      <c r="K146" s="80" t="s">
        <v>246</v>
      </c>
      <c r="L146" s="80" t="s">
        <v>272</v>
      </c>
      <c r="N146" s="73"/>
      <c r="O146" s="73"/>
      <c r="P146" s="73"/>
    </row>
    <row r="147" spans="10:16" x14ac:dyDescent="0.2">
      <c r="J147" s="80">
        <v>146</v>
      </c>
      <c r="K147" s="80" t="s">
        <v>236</v>
      </c>
      <c r="L147" s="80" t="s">
        <v>272</v>
      </c>
      <c r="N147" s="73"/>
      <c r="O147" s="73"/>
      <c r="P147" s="73"/>
    </row>
    <row r="148" spans="10:16" x14ac:dyDescent="0.2">
      <c r="J148" s="80">
        <v>147</v>
      </c>
      <c r="K148" s="80" t="s">
        <v>237</v>
      </c>
      <c r="L148" s="80" t="s">
        <v>272</v>
      </c>
      <c r="N148" s="73"/>
      <c r="O148" s="73"/>
      <c r="P148" s="73"/>
    </row>
    <row r="149" spans="10:16" x14ac:dyDescent="0.2">
      <c r="J149" s="80">
        <v>148</v>
      </c>
      <c r="K149" s="80" t="s">
        <v>238</v>
      </c>
      <c r="L149" s="80" t="s">
        <v>272</v>
      </c>
      <c r="N149" s="73"/>
      <c r="O149" s="73"/>
      <c r="P149" s="73"/>
    </row>
    <row r="150" spans="10:16" x14ac:dyDescent="0.2">
      <c r="J150" s="80">
        <v>149</v>
      </c>
      <c r="K150" s="80" t="s">
        <v>239</v>
      </c>
      <c r="L150" s="80" t="s">
        <v>272</v>
      </c>
      <c r="N150" s="73"/>
      <c r="O150" s="73"/>
      <c r="P150" s="73"/>
    </row>
    <row r="151" spans="10:16" x14ac:dyDescent="0.2">
      <c r="J151" s="80">
        <v>150</v>
      </c>
      <c r="K151" s="80" t="s">
        <v>240</v>
      </c>
      <c r="L151" s="80" t="s">
        <v>272</v>
      </c>
      <c r="N151" s="73"/>
      <c r="O151" s="73"/>
      <c r="P151" s="73"/>
    </row>
    <row r="152" spans="10:16" x14ac:dyDescent="0.2">
      <c r="J152" s="80">
        <v>151</v>
      </c>
      <c r="K152" s="80" t="s">
        <v>241</v>
      </c>
      <c r="L152" s="80" t="s">
        <v>272</v>
      </c>
      <c r="N152" s="73"/>
      <c r="O152" s="73"/>
      <c r="P152" s="73"/>
    </row>
    <row r="153" spans="10:16" x14ac:dyDescent="0.2">
      <c r="J153" s="80">
        <v>152</v>
      </c>
      <c r="K153" s="80" t="s">
        <v>242</v>
      </c>
      <c r="L153" s="80" t="s">
        <v>272</v>
      </c>
      <c r="N153" s="73"/>
      <c r="O153" s="73"/>
      <c r="P153" s="73"/>
    </row>
    <row r="154" spans="10:16" x14ac:dyDescent="0.2">
      <c r="J154" s="80">
        <v>153</v>
      </c>
      <c r="K154" s="80" t="s">
        <v>243</v>
      </c>
      <c r="L154" s="80" t="s">
        <v>272</v>
      </c>
      <c r="N154" s="73"/>
      <c r="O154" s="73"/>
      <c r="P154" s="73"/>
    </row>
    <row r="155" spans="10:16" x14ac:dyDescent="0.2">
      <c r="J155" s="81">
        <v>154</v>
      </c>
      <c r="K155" s="81" t="s">
        <v>247</v>
      </c>
      <c r="L155" s="81" t="s">
        <v>273</v>
      </c>
      <c r="N155" s="73"/>
      <c r="O155" s="73"/>
      <c r="P155" s="73"/>
    </row>
    <row r="156" spans="10:16" x14ac:dyDescent="0.2">
      <c r="J156" s="81">
        <v>155</v>
      </c>
      <c r="K156" s="81" t="s">
        <v>248</v>
      </c>
      <c r="L156" s="81" t="s">
        <v>273</v>
      </c>
      <c r="N156" s="73"/>
      <c r="O156" s="73"/>
      <c r="P156" s="73"/>
    </row>
    <row r="157" spans="10:16" x14ac:dyDescent="0.2">
      <c r="J157" s="81">
        <v>156</v>
      </c>
      <c r="K157" s="81" t="s">
        <v>249</v>
      </c>
      <c r="L157" s="81" t="s">
        <v>273</v>
      </c>
      <c r="N157" s="73"/>
      <c r="O157" s="73"/>
      <c r="P157" s="73"/>
    </row>
    <row r="158" spans="10:16" x14ac:dyDescent="0.2">
      <c r="J158" s="81">
        <v>157</v>
      </c>
      <c r="K158" s="81" t="s">
        <v>250</v>
      </c>
      <c r="L158" s="81" t="s">
        <v>273</v>
      </c>
      <c r="N158" s="73"/>
      <c r="O158" s="73"/>
      <c r="P158" s="73"/>
    </row>
    <row r="159" spans="10:16" x14ac:dyDescent="0.2">
      <c r="J159" s="81">
        <v>158</v>
      </c>
      <c r="K159" s="81" t="s">
        <v>251</v>
      </c>
      <c r="L159" s="81" t="s">
        <v>273</v>
      </c>
      <c r="N159" s="73"/>
      <c r="O159" s="73"/>
      <c r="P159" s="73"/>
    </row>
    <row r="160" spans="10:16" x14ac:dyDescent="0.2">
      <c r="J160" s="81">
        <v>159</v>
      </c>
      <c r="K160" s="81" t="s">
        <v>252</v>
      </c>
      <c r="L160" s="81" t="s">
        <v>273</v>
      </c>
      <c r="N160" s="73"/>
      <c r="O160" s="73"/>
      <c r="P160" s="73"/>
    </row>
    <row r="161" spans="10:16" x14ac:dyDescent="0.2">
      <c r="J161" s="81">
        <v>160</v>
      </c>
      <c r="K161" s="81" t="s">
        <v>253</v>
      </c>
      <c r="L161" s="81" t="s">
        <v>273</v>
      </c>
      <c r="N161" s="73"/>
      <c r="O161" s="73"/>
      <c r="P161" s="73"/>
    </row>
    <row r="162" spans="10:16" x14ac:dyDescent="0.2">
      <c r="J162" s="81">
        <v>161</v>
      </c>
      <c r="K162" s="81" t="s">
        <v>254</v>
      </c>
      <c r="L162" s="81" t="s">
        <v>273</v>
      </c>
      <c r="N162" s="73"/>
      <c r="O162" s="73"/>
      <c r="P162" s="73"/>
    </row>
    <row r="163" spans="10:16" x14ac:dyDescent="0.2">
      <c r="J163" s="81">
        <v>162</v>
      </c>
      <c r="K163" s="81" t="s">
        <v>255</v>
      </c>
      <c r="L163" s="81" t="s">
        <v>273</v>
      </c>
      <c r="N163" s="73"/>
      <c r="O163" s="73"/>
      <c r="P163" s="73"/>
    </row>
    <row r="164" spans="10:16" x14ac:dyDescent="0.2">
      <c r="J164" s="81">
        <v>163</v>
      </c>
      <c r="K164" s="81" t="s">
        <v>256</v>
      </c>
      <c r="L164" s="81" t="s">
        <v>273</v>
      </c>
      <c r="N164" s="73"/>
      <c r="O164" s="73"/>
      <c r="P164" s="73"/>
    </row>
    <row r="165" spans="10:16" x14ac:dyDescent="0.2">
      <c r="J165" s="81">
        <v>164</v>
      </c>
      <c r="K165" s="81" t="s">
        <v>257</v>
      </c>
      <c r="L165" s="81" t="s">
        <v>273</v>
      </c>
      <c r="N165" s="73"/>
      <c r="O165" s="73"/>
      <c r="P165" s="73"/>
    </row>
    <row r="166" spans="10:16" x14ac:dyDescent="0.2">
      <c r="J166" s="76">
        <v>165</v>
      </c>
      <c r="K166" s="76" t="s">
        <v>258</v>
      </c>
      <c r="L166" s="76" t="s">
        <v>274</v>
      </c>
      <c r="N166" s="73"/>
      <c r="O166" s="73"/>
      <c r="P166" s="73"/>
    </row>
    <row r="167" spans="10:16" x14ac:dyDescent="0.2">
      <c r="J167" s="76">
        <v>166</v>
      </c>
      <c r="K167" s="76" t="s">
        <v>259</v>
      </c>
      <c r="L167" s="76" t="s">
        <v>274</v>
      </c>
      <c r="N167" s="73"/>
      <c r="O167" s="73"/>
      <c r="P167" s="73"/>
    </row>
    <row r="168" spans="10:16" x14ac:dyDescent="0.2">
      <c r="J168" s="76">
        <v>167</v>
      </c>
      <c r="K168" s="76" t="s">
        <v>260</v>
      </c>
      <c r="L168" s="76" t="s">
        <v>274</v>
      </c>
      <c r="N168" s="73"/>
      <c r="O168" s="73"/>
      <c r="P168" s="73"/>
    </row>
    <row r="169" spans="10:16" x14ac:dyDescent="0.2">
      <c r="J169" s="76">
        <v>168</v>
      </c>
      <c r="K169" s="76" t="s">
        <v>261</v>
      </c>
      <c r="L169" s="76" t="s">
        <v>274</v>
      </c>
      <c r="N169" s="73"/>
      <c r="O169" s="73"/>
      <c r="P169" s="73"/>
    </row>
    <row r="170" spans="10:16" x14ac:dyDescent="0.2">
      <c r="J170" s="76">
        <v>169</v>
      </c>
      <c r="K170" s="76" t="s">
        <v>262</v>
      </c>
      <c r="L170" s="76" t="s">
        <v>274</v>
      </c>
      <c r="N170" s="73"/>
      <c r="O170" s="73"/>
      <c r="P170" s="73"/>
    </row>
    <row r="171" spans="10:16" x14ac:dyDescent="0.2">
      <c r="J171" s="76">
        <v>170</v>
      </c>
      <c r="K171" s="76" t="s">
        <v>263</v>
      </c>
      <c r="L171" s="76" t="s">
        <v>274</v>
      </c>
      <c r="N171" s="73"/>
      <c r="O171" s="73"/>
      <c r="P171" s="73"/>
    </row>
    <row r="172" spans="10:16" x14ac:dyDescent="0.2">
      <c r="J172" s="76">
        <v>171</v>
      </c>
      <c r="K172" s="76" t="s">
        <v>264</v>
      </c>
      <c r="L172" s="76" t="s">
        <v>274</v>
      </c>
      <c r="N172" s="73"/>
      <c r="O172" s="73"/>
      <c r="P172" s="73"/>
    </row>
    <row r="173" spans="10:16" x14ac:dyDescent="0.2">
      <c r="J173" s="76">
        <v>172</v>
      </c>
      <c r="K173" s="76" t="s">
        <v>265</v>
      </c>
      <c r="L173" s="76" t="s">
        <v>274</v>
      </c>
      <c r="N173" s="73"/>
      <c r="O173" s="73"/>
      <c r="P173" s="73"/>
    </row>
    <row r="174" spans="10:16" x14ac:dyDescent="0.2">
      <c r="J174" s="76">
        <v>173</v>
      </c>
      <c r="K174" s="76" t="s">
        <v>266</v>
      </c>
      <c r="L174" s="76" t="s">
        <v>274</v>
      </c>
      <c r="N174" s="73"/>
      <c r="O174" s="73"/>
      <c r="P174" s="73"/>
    </row>
    <row r="175" spans="10:16" x14ac:dyDescent="0.2">
      <c r="J175" s="76">
        <v>174</v>
      </c>
      <c r="K175" s="76" t="s">
        <v>267</v>
      </c>
      <c r="L175" s="76" t="s">
        <v>274</v>
      </c>
      <c r="N175" s="73"/>
      <c r="O175" s="73"/>
      <c r="P175" s="73"/>
    </row>
    <row r="176" spans="10:16" x14ac:dyDescent="0.2">
      <c r="J176" s="82">
        <v>175</v>
      </c>
      <c r="K176" s="82" t="s">
        <v>276</v>
      </c>
      <c r="L176" s="82" t="s">
        <v>275</v>
      </c>
      <c r="N176" s="73"/>
      <c r="O176" s="73"/>
      <c r="P176" s="73"/>
    </row>
    <row r="177" spans="10:16" x14ac:dyDescent="0.2">
      <c r="J177" s="82">
        <v>176</v>
      </c>
      <c r="K177" s="82" t="s">
        <v>277</v>
      </c>
      <c r="L177" s="82" t="s">
        <v>275</v>
      </c>
      <c r="N177" s="73"/>
      <c r="O177" s="73"/>
      <c r="P177" s="73"/>
    </row>
    <row r="178" spans="10:16" x14ac:dyDescent="0.2">
      <c r="J178" s="82">
        <v>177</v>
      </c>
      <c r="K178" s="82" t="s">
        <v>278</v>
      </c>
      <c r="L178" s="82" t="s">
        <v>275</v>
      </c>
    </row>
    <row r="179" spans="10:16" x14ac:dyDescent="0.2">
      <c r="J179" s="82">
        <v>178</v>
      </c>
      <c r="K179" s="82" t="s">
        <v>279</v>
      </c>
      <c r="L179" s="82" t="s">
        <v>275</v>
      </c>
    </row>
    <row r="180" spans="10:16" x14ac:dyDescent="0.2">
      <c r="J180" s="82">
        <v>179</v>
      </c>
      <c r="K180" s="82" t="s">
        <v>280</v>
      </c>
      <c r="L180" s="82" t="s">
        <v>275</v>
      </c>
    </row>
    <row r="181" spans="10:16" x14ac:dyDescent="0.2">
      <c r="J181" s="82">
        <v>180</v>
      </c>
      <c r="K181" s="82" t="s">
        <v>281</v>
      </c>
      <c r="L181" s="82" t="s">
        <v>275</v>
      </c>
    </row>
    <row r="182" spans="10:16" x14ac:dyDescent="0.2">
      <c r="J182" s="82">
        <v>181</v>
      </c>
      <c r="K182" s="82" t="s">
        <v>179</v>
      </c>
      <c r="L182" s="82" t="s">
        <v>275</v>
      </c>
    </row>
    <row r="183" spans="10:16" x14ac:dyDescent="0.2">
      <c r="J183" s="82">
        <v>182</v>
      </c>
      <c r="K183" s="82" t="s">
        <v>282</v>
      </c>
      <c r="L183" s="82" t="s">
        <v>275</v>
      </c>
    </row>
    <row r="184" spans="10:16" x14ac:dyDescent="0.2">
      <c r="J184" s="82">
        <v>183</v>
      </c>
      <c r="K184" s="82" t="s">
        <v>283</v>
      </c>
      <c r="L184" s="82" t="s">
        <v>275</v>
      </c>
    </row>
    <row r="185" spans="10:16" x14ac:dyDescent="0.2">
      <c r="J185" s="82">
        <v>184</v>
      </c>
      <c r="K185" s="82" t="s">
        <v>284</v>
      </c>
      <c r="L185" s="82" t="s">
        <v>275</v>
      </c>
    </row>
    <row r="186" spans="10:16" x14ac:dyDescent="0.2">
      <c r="J186" s="83">
        <v>185</v>
      </c>
      <c r="K186" s="83" t="s">
        <v>286</v>
      </c>
      <c r="L186" s="83" t="s">
        <v>285</v>
      </c>
    </row>
    <row r="187" spans="10:16" x14ac:dyDescent="0.2">
      <c r="J187" s="83">
        <v>186</v>
      </c>
      <c r="K187" s="83" t="s">
        <v>287</v>
      </c>
      <c r="L187" s="83" t="s">
        <v>285</v>
      </c>
    </row>
    <row r="188" spans="10:16" x14ac:dyDescent="0.2">
      <c r="J188" s="83">
        <v>187</v>
      </c>
      <c r="K188" s="83" t="s">
        <v>288</v>
      </c>
      <c r="L188" s="83" t="s">
        <v>285</v>
      </c>
    </row>
    <row r="189" spans="10:16" x14ac:dyDescent="0.2">
      <c r="J189" s="83">
        <v>188</v>
      </c>
      <c r="K189" s="83" t="s">
        <v>289</v>
      </c>
      <c r="L189" s="83" t="s">
        <v>285</v>
      </c>
    </row>
    <row r="190" spans="10:16" x14ac:dyDescent="0.2">
      <c r="J190" s="83">
        <v>189</v>
      </c>
      <c r="K190" s="83" t="s">
        <v>290</v>
      </c>
      <c r="L190" s="83" t="s">
        <v>285</v>
      </c>
    </row>
    <row r="191" spans="10:16" x14ac:dyDescent="0.2">
      <c r="J191" s="83">
        <v>190</v>
      </c>
      <c r="K191" s="83" t="s">
        <v>291</v>
      </c>
      <c r="L191" s="83" t="s">
        <v>285</v>
      </c>
    </row>
    <row r="192" spans="10:16" x14ac:dyDescent="0.2">
      <c r="J192" s="83">
        <v>191</v>
      </c>
      <c r="K192" s="83" t="s">
        <v>292</v>
      </c>
      <c r="L192" s="83" t="s">
        <v>285</v>
      </c>
    </row>
    <row r="193" spans="10:12" x14ac:dyDescent="0.2">
      <c r="J193" s="83">
        <v>192</v>
      </c>
      <c r="K193" s="83" t="s">
        <v>293</v>
      </c>
      <c r="L193" s="83" t="s">
        <v>285</v>
      </c>
    </row>
    <row r="194" spans="10:12" x14ac:dyDescent="0.2">
      <c r="J194" s="83">
        <v>193</v>
      </c>
      <c r="K194" s="83" t="s">
        <v>294</v>
      </c>
      <c r="L194" s="83" t="s">
        <v>285</v>
      </c>
    </row>
    <row r="195" spans="10:12" x14ac:dyDescent="0.2">
      <c r="J195" s="83">
        <v>194</v>
      </c>
      <c r="K195" s="83" t="s">
        <v>295</v>
      </c>
      <c r="L195" s="83" t="s">
        <v>285</v>
      </c>
    </row>
  </sheetData>
  <conditionalFormatting sqref="F2:F74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1:F74 F96:F1048576">
    <cfRule type="duplicateValues" dxfId="15" priority="6"/>
  </conditionalFormatting>
  <conditionalFormatting sqref="F75:F95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5:F95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4"/>
  <sheetViews>
    <sheetView tabSelected="1" topLeftCell="O33" zoomScale="106" zoomScaleNormal="106" workbookViewId="0">
      <selection sqref="A1:R54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94.42578125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8" t="s">
        <v>315</v>
      </c>
      <c r="B1" s="128"/>
      <c r="C1" s="128"/>
      <c r="D1" s="128"/>
      <c r="E1" s="128"/>
      <c r="F1" s="66" t="s">
        <v>428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104</v>
      </c>
      <c r="B2" s="51" t="s">
        <v>318</v>
      </c>
      <c r="C2" s="51" t="s">
        <v>105</v>
      </c>
      <c r="D2" s="51" t="s">
        <v>319</v>
      </c>
      <c r="E2" s="51" t="s">
        <v>9</v>
      </c>
      <c r="F2" s="52" t="s">
        <v>321</v>
      </c>
      <c r="G2" s="53" t="s">
        <v>322</v>
      </c>
      <c r="H2" s="53" t="s">
        <v>323</v>
      </c>
      <c r="I2" s="52" t="s">
        <v>106</v>
      </c>
      <c r="J2" s="52" t="s">
        <v>107</v>
      </c>
      <c r="K2" s="54" t="s">
        <v>108</v>
      </c>
      <c r="L2" s="55" t="s">
        <v>324</v>
      </c>
      <c r="M2" s="55" t="s">
        <v>325</v>
      </c>
      <c r="N2" s="55" t="s">
        <v>326</v>
      </c>
      <c r="O2" s="55" t="s">
        <v>327</v>
      </c>
      <c r="P2" s="55" t="s">
        <v>107</v>
      </c>
      <c r="Q2" s="55" t="s">
        <v>108</v>
      </c>
      <c r="R2" s="56" t="s">
        <v>109</v>
      </c>
      <c r="S2" s="57" t="s">
        <v>110</v>
      </c>
      <c r="W2" s="58"/>
      <c r="X2" s="59" t="s">
        <v>316</v>
      </c>
      <c r="AB2" s="60"/>
    </row>
    <row r="3" spans="1:28" ht="15.75" customHeight="1" x14ac:dyDescent="0.2">
      <c r="A3" s="132" t="s">
        <v>429</v>
      </c>
      <c r="B3" s="132" t="s">
        <v>434</v>
      </c>
      <c r="C3" s="132" t="s">
        <v>435</v>
      </c>
      <c r="D3" s="132">
        <v>1</v>
      </c>
      <c r="E3" s="133">
        <v>20.41</v>
      </c>
      <c r="F3" s="132" t="s">
        <v>430</v>
      </c>
      <c r="G3" s="132" t="s">
        <v>113</v>
      </c>
      <c r="H3" s="132" t="s">
        <v>268</v>
      </c>
      <c r="I3" s="132" t="s">
        <v>437</v>
      </c>
      <c r="J3" s="132" t="s">
        <v>437</v>
      </c>
      <c r="K3" s="132"/>
      <c r="L3" s="132" t="s">
        <v>431</v>
      </c>
      <c r="M3" s="132" t="s">
        <v>20</v>
      </c>
      <c r="N3" s="132" t="s">
        <v>21</v>
      </c>
      <c r="O3" s="132" t="s">
        <v>17</v>
      </c>
      <c r="P3" s="132" t="s">
        <v>441</v>
      </c>
      <c r="Q3" s="132">
        <v>10080</v>
      </c>
      <c r="R3" s="132" t="s">
        <v>448</v>
      </c>
      <c r="S3" s="132">
        <v>1</v>
      </c>
      <c r="T3" s="61"/>
      <c r="U3" s="61"/>
      <c r="W3" s="62"/>
      <c r="X3" s="48">
        <v>55</v>
      </c>
    </row>
    <row r="4" spans="1:28" ht="15.75" customHeight="1" x14ac:dyDescent="0.2">
      <c r="A4" s="132" t="s">
        <v>449</v>
      </c>
      <c r="B4" s="132" t="s">
        <v>434</v>
      </c>
      <c r="C4" s="132" t="s">
        <v>435</v>
      </c>
      <c r="D4" s="132">
        <v>1</v>
      </c>
      <c r="E4" s="133">
        <v>20.41</v>
      </c>
      <c r="F4" s="132" t="s">
        <v>450</v>
      </c>
      <c r="G4" s="132" t="s">
        <v>114</v>
      </c>
      <c r="H4" s="132" t="s">
        <v>268</v>
      </c>
      <c r="I4" s="132" t="s">
        <v>437</v>
      </c>
      <c r="J4" s="132" t="s">
        <v>437</v>
      </c>
      <c r="K4" s="132"/>
      <c r="L4" s="132" t="s">
        <v>451</v>
      </c>
      <c r="M4" s="132" t="s">
        <v>24</v>
      </c>
      <c r="N4" s="132" t="s">
        <v>25</v>
      </c>
      <c r="O4" s="132" t="s">
        <v>17</v>
      </c>
      <c r="P4" s="132" t="s">
        <v>441</v>
      </c>
      <c r="Q4" s="132">
        <v>10549</v>
      </c>
      <c r="R4" s="132" t="s">
        <v>448</v>
      </c>
      <c r="S4" s="132">
        <v>1</v>
      </c>
    </row>
    <row r="5" spans="1:28" ht="13.5" customHeight="1" x14ac:dyDescent="0.2">
      <c r="A5" s="132" t="s">
        <v>453</v>
      </c>
      <c r="B5" s="132" t="s">
        <v>434</v>
      </c>
      <c r="C5" s="132" t="s">
        <v>435</v>
      </c>
      <c r="D5" s="132">
        <v>1</v>
      </c>
      <c r="E5" s="133">
        <v>20.41</v>
      </c>
      <c r="F5" s="132" t="s">
        <v>454</v>
      </c>
      <c r="G5" s="132" t="s">
        <v>137</v>
      </c>
      <c r="H5" s="132" t="s">
        <v>269</v>
      </c>
      <c r="I5" s="132" t="s">
        <v>437</v>
      </c>
      <c r="J5" s="132" t="s">
        <v>437</v>
      </c>
      <c r="K5" s="132"/>
      <c r="L5" s="132" t="s">
        <v>455</v>
      </c>
      <c r="M5" s="132" t="s">
        <v>26</v>
      </c>
      <c r="N5" s="132" t="s">
        <v>27</v>
      </c>
      <c r="O5" s="132" t="s">
        <v>17</v>
      </c>
      <c r="P5" s="132" t="s">
        <v>441</v>
      </c>
      <c r="Q5" s="132">
        <v>10549</v>
      </c>
      <c r="R5" s="132" t="s">
        <v>457</v>
      </c>
      <c r="S5" s="132">
        <v>2</v>
      </c>
    </row>
    <row r="6" spans="1:28" x14ac:dyDescent="0.2">
      <c r="A6" s="48" t="s">
        <v>458</v>
      </c>
      <c r="B6" s="48" t="s">
        <v>434</v>
      </c>
      <c r="C6" s="48" t="s">
        <v>435</v>
      </c>
      <c r="D6" s="49">
        <v>1</v>
      </c>
      <c r="E6" s="49">
        <v>20.41</v>
      </c>
      <c r="F6" s="48" t="s">
        <v>459</v>
      </c>
      <c r="G6" s="48" t="s">
        <v>163</v>
      </c>
      <c r="H6" s="48" t="s">
        <v>162</v>
      </c>
      <c r="I6" s="48" t="s">
        <v>437</v>
      </c>
      <c r="J6" s="48" t="s">
        <v>437</v>
      </c>
      <c r="K6" s="48"/>
      <c r="L6" s="48" t="s">
        <v>460</v>
      </c>
      <c r="M6" s="48" t="s">
        <v>28</v>
      </c>
      <c r="N6" s="48" t="s">
        <v>27</v>
      </c>
      <c r="O6" s="48" t="s">
        <v>17</v>
      </c>
      <c r="P6" s="48" t="s">
        <v>441</v>
      </c>
      <c r="Q6" s="49">
        <v>10549</v>
      </c>
      <c r="R6" s="48" t="s">
        <v>462</v>
      </c>
      <c r="S6" s="132">
        <v>2</v>
      </c>
    </row>
    <row r="7" spans="1:28" x14ac:dyDescent="0.2">
      <c r="A7" s="48" t="s">
        <v>463</v>
      </c>
      <c r="B7" s="48" t="s">
        <v>434</v>
      </c>
      <c r="C7" s="48" t="s">
        <v>435</v>
      </c>
      <c r="D7" s="49">
        <v>1</v>
      </c>
      <c r="E7" s="49">
        <v>20.41</v>
      </c>
      <c r="F7" s="48" t="s">
        <v>464</v>
      </c>
      <c r="G7" s="48" t="s">
        <v>164</v>
      </c>
      <c r="H7" s="48" t="s">
        <v>162</v>
      </c>
      <c r="I7" s="48" t="s">
        <v>437</v>
      </c>
      <c r="J7" s="48" t="s">
        <v>437</v>
      </c>
      <c r="K7" s="48"/>
      <c r="L7" s="48" t="s">
        <v>465</v>
      </c>
      <c r="M7" s="48" t="s">
        <v>29</v>
      </c>
      <c r="N7" s="48" t="s">
        <v>27</v>
      </c>
      <c r="O7" s="48" t="s">
        <v>17</v>
      </c>
      <c r="P7" s="48" t="s">
        <v>441</v>
      </c>
      <c r="Q7" s="49">
        <v>10549</v>
      </c>
      <c r="R7" s="48" t="s">
        <v>448</v>
      </c>
      <c r="S7" s="132">
        <v>3</v>
      </c>
    </row>
    <row r="8" spans="1:28" x14ac:dyDescent="0.2">
      <c r="A8" s="48" t="s">
        <v>467</v>
      </c>
      <c r="B8" s="48" t="s">
        <v>434</v>
      </c>
      <c r="C8" s="48" t="s">
        <v>435</v>
      </c>
      <c r="D8" s="49">
        <v>1</v>
      </c>
      <c r="E8" s="49">
        <v>20.41</v>
      </c>
      <c r="F8" s="48" t="s">
        <v>468</v>
      </c>
      <c r="G8" s="48" t="s">
        <v>165</v>
      </c>
      <c r="H8" s="48" t="s">
        <v>162</v>
      </c>
      <c r="I8" s="48" t="s">
        <v>437</v>
      </c>
      <c r="J8" s="48" t="s">
        <v>437</v>
      </c>
      <c r="K8" s="48"/>
      <c r="L8" s="48" t="s">
        <v>469</v>
      </c>
      <c r="M8" s="48" t="s">
        <v>30</v>
      </c>
      <c r="N8" s="48" t="s">
        <v>27</v>
      </c>
      <c r="O8" s="48" t="s">
        <v>17</v>
      </c>
      <c r="P8" s="48" t="s">
        <v>441</v>
      </c>
      <c r="Q8" s="49">
        <v>10549</v>
      </c>
      <c r="R8" s="48" t="s">
        <v>471</v>
      </c>
      <c r="S8" s="132">
        <v>3</v>
      </c>
    </row>
    <row r="9" spans="1:28" x14ac:dyDescent="0.2">
      <c r="A9" s="48" t="s">
        <v>472</v>
      </c>
      <c r="B9" s="48" t="s">
        <v>434</v>
      </c>
      <c r="C9" s="48" t="s">
        <v>435</v>
      </c>
      <c r="D9" s="49">
        <v>1</v>
      </c>
      <c r="E9" s="49">
        <v>20.41</v>
      </c>
      <c r="F9" s="48" t="s">
        <v>473</v>
      </c>
      <c r="G9" s="48" t="s">
        <v>178</v>
      </c>
      <c r="H9" s="48" t="s">
        <v>112</v>
      </c>
      <c r="I9" s="48" t="s">
        <v>437</v>
      </c>
      <c r="J9" s="48" t="s">
        <v>437</v>
      </c>
      <c r="K9" s="48"/>
      <c r="L9" s="48" t="s">
        <v>474</v>
      </c>
      <c r="M9" s="48" t="s">
        <v>31</v>
      </c>
      <c r="N9" s="48" t="s">
        <v>27</v>
      </c>
      <c r="O9" s="48" t="s">
        <v>17</v>
      </c>
      <c r="P9" s="48" t="s">
        <v>441</v>
      </c>
      <c r="Q9" s="49">
        <v>10549</v>
      </c>
      <c r="R9" s="48" t="s">
        <v>476</v>
      </c>
      <c r="S9" s="132">
        <v>4</v>
      </c>
    </row>
    <row r="10" spans="1:28" x14ac:dyDescent="0.2">
      <c r="A10" s="48" t="s">
        <v>477</v>
      </c>
      <c r="B10" s="48" t="s">
        <v>434</v>
      </c>
      <c r="C10" s="48" t="s">
        <v>435</v>
      </c>
      <c r="D10" s="49">
        <v>1</v>
      </c>
      <c r="E10" s="49">
        <v>20.41</v>
      </c>
      <c r="F10" s="48" t="s">
        <v>478</v>
      </c>
      <c r="G10" s="48" t="s">
        <v>179</v>
      </c>
      <c r="H10" s="48" t="s">
        <v>112</v>
      </c>
      <c r="I10" s="48" t="s">
        <v>437</v>
      </c>
      <c r="J10" s="48" t="s">
        <v>437</v>
      </c>
      <c r="K10" s="48"/>
      <c r="L10" s="48" t="s">
        <v>479</v>
      </c>
      <c r="M10" s="48" t="s">
        <v>32</v>
      </c>
      <c r="N10" s="48" t="s">
        <v>27</v>
      </c>
      <c r="O10" s="48" t="s">
        <v>17</v>
      </c>
      <c r="P10" s="48" t="s">
        <v>441</v>
      </c>
      <c r="Q10" s="49">
        <v>10549</v>
      </c>
      <c r="R10" s="48" t="s">
        <v>481</v>
      </c>
      <c r="S10" s="132">
        <v>4</v>
      </c>
    </row>
    <row r="11" spans="1:28" x14ac:dyDescent="0.2">
      <c r="A11" s="48" t="s">
        <v>482</v>
      </c>
      <c r="B11" s="48" t="s">
        <v>434</v>
      </c>
      <c r="C11" s="48" t="s">
        <v>435</v>
      </c>
      <c r="D11" s="49">
        <v>1</v>
      </c>
      <c r="E11" s="49">
        <v>20.41</v>
      </c>
      <c r="F11" s="48" t="s">
        <v>483</v>
      </c>
      <c r="G11" s="48" t="s">
        <v>193</v>
      </c>
      <c r="H11" s="48" t="s">
        <v>270</v>
      </c>
      <c r="I11" s="48" t="s">
        <v>437</v>
      </c>
      <c r="J11" s="48" t="s">
        <v>437</v>
      </c>
      <c r="K11" s="48"/>
      <c r="L11" s="48" t="s">
        <v>484</v>
      </c>
      <c r="M11" s="48" t="s">
        <v>34</v>
      </c>
      <c r="N11" s="48" t="s">
        <v>25</v>
      </c>
      <c r="O11" s="48" t="s">
        <v>17</v>
      </c>
      <c r="P11" s="48" t="s">
        <v>441</v>
      </c>
      <c r="Q11" s="49">
        <v>10509</v>
      </c>
      <c r="R11" s="48" t="s">
        <v>486</v>
      </c>
      <c r="S11" s="132">
        <v>5</v>
      </c>
    </row>
    <row r="12" spans="1:28" x14ac:dyDescent="0.2">
      <c r="A12" s="48" t="s">
        <v>487</v>
      </c>
      <c r="B12" s="48" t="s">
        <v>434</v>
      </c>
      <c r="C12" s="48" t="s">
        <v>435</v>
      </c>
      <c r="D12" s="49">
        <v>1</v>
      </c>
      <c r="E12" s="49">
        <v>20.41</v>
      </c>
      <c r="F12" s="48" t="s">
        <v>488</v>
      </c>
      <c r="G12" s="48" t="s">
        <v>139</v>
      </c>
      <c r="H12" s="48" t="s">
        <v>269</v>
      </c>
      <c r="I12" s="48" t="s">
        <v>437</v>
      </c>
      <c r="J12" s="48" t="s">
        <v>437</v>
      </c>
      <c r="K12" s="48"/>
      <c r="L12" s="48" t="s">
        <v>489</v>
      </c>
      <c r="M12" s="48" t="s">
        <v>35</v>
      </c>
      <c r="N12" s="48" t="s">
        <v>36</v>
      </c>
      <c r="O12" s="48" t="s">
        <v>17</v>
      </c>
      <c r="P12" s="48" t="s">
        <v>441</v>
      </c>
      <c r="Q12" s="49">
        <v>10576</v>
      </c>
      <c r="R12" s="48" t="s">
        <v>491</v>
      </c>
      <c r="S12" s="132">
        <v>5</v>
      </c>
    </row>
    <row r="13" spans="1:28" x14ac:dyDescent="0.2">
      <c r="A13" s="48" t="s">
        <v>492</v>
      </c>
      <c r="B13" s="48" t="s">
        <v>434</v>
      </c>
      <c r="C13" s="48" t="s">
        <v>435</v>
      </c>
      <c r="D13" s="49">
        <v>1</v>
      </c>
      <c r="E13" s="49">
        <v>22.68</v>
      </c>
      <c r="F13" s="48" t="s">
        <v>493</v>
      </c>
      <c r="G13" s="48" t="s">
        <v>117</v>
      </c>
      <c r="H13" s="48" t="s">
        <v>268</v>
      </c>
      <c r="I13" s="48" t="s">
        <v>437</v>
      </c>
      <c r="J13" s="48" t="s">
        <v>437</v>
      </c>
      <c r="K13" s="48"/>
      <c r="L13" s="48" t="s">
        <v>494</v>
      </c>
      <c r="M13" s="48" t="s">
        <v>37</v>
      </c>
      <c r="N13" s="48" t="s">
        <v>38</v>
      </c>
      <c r="O13" s="48" t="s">
        <v>17</v>
      </c>
      <c r="P13" s="48" t="s">
        <v>441</v>
      </c>
      <c r="Q13" s="49">
        <v>10549</v>
      </c>
      <c r="R13" s="48" t="s">
        <v>495</v>
      </c>
      <c r="S13" s="132">
        <v>6</v>
      </c>
    </row>
    <row r="14" spans="1:28" x14ac:dyDescent="0.2">
      <c r="A14" s="48" t="s">
        <v>496</v>
      </c>
      <c r="B14" s="48" t="s">
        <v>434</v>
      </c>
      <c r="C14" s="48" t="s">
        <v>435</v>
      </c>
      <c r="D14" s="49">
        <v>1</v>
      </c>
      <c r="E14" s="49">
        <v>20.41</v>
      </c>
      <c r="F14" s="48" t="s">
        <v>497</v>
      </c>
      <c r="G14" s="48" t="s">
        <v>118</v>
      </c>
      <c r="H14" s="48" t="s">
        <v>268</v>
      </c>
      <c r="I14" s="48" t="s">
        <v>437</v>
      </c>
      <c r="J14" s="48" t="s">
        <v>437</v>
      </c>
      <c r="K14" s="48"/>
      <c r="L14" s="48" t="s">
        <v>498</v>
      </c>
      <c r="M14" s="48" t="s">
        <v>39</v>
      </c>
      <c r="N14" s="48" t="s">
        <v>38</v>
      </c>
      <c r="O14" s="48" t="s">
        <v>17</v>
      </c>
      <c r="P14" s="48" t="s">
        <v>441</v>
      </c>
      <c r="Q14" s="49">
        <v>10549</v>
      </c>
      <c r="R14" s="48" t="s">
        <v>499</v>
      </c>
      <c r="S14" s="132">
        <v>6</v>
      </c>
    </row>
    <row r="15" spans="1:28" x14ac:dyDescent="0.2">
      <c r="A15" s="48" t="s">
        <v>500</v>
      </c>
      <c r="B15" s="48" t="s">
        <v>434</v>
      </c>
      <c r="C15" s="48" t="s">
        <v>435</v>
      </c>
      <c r="D15" s="49">
        <v>1</v>
      </c>
      <c r="E15" s="49">
        <v>20.41</v>
      </c>
      <c r="F15" s="48" t="s">
        <v>501</v>
      </c>
      <c r="G15" s="48" t="s">
        <v>119</v>
      </c>
      <c r="H15" s="48" t="s">
        <v>268</v>
      </c>
      <c r="I15" s="48" t="s">
        <v>437</v>
      </c>
      <c r="J15" s="48" t="s">
        <v>437</v>
      </c>
      <c r="K15" s="48"/>
      <c r="L15" s="48" t="s">
        <v>502</v>
      </c>
      <c r="M15" s="48" t="s">
        <v>40</v>
      </c>
      <c r="N15" s="48" t="s">
        <v>38</v>
      </c>
      <c r="O15" s="48" t="s">
        <v>17</v>
      </c>
      <c r="P15" s="48" t="s">
        <v>441</v>
      </c>
      <c r="Q15" s="49">
        <v>10549</v>
      </c>
      <c r="R15" s="48" t="s">
        <v>503</v>
      </c>
      <c r="S15" s="132">
        <v>7</v>
      </c>
    </row>
    <row r="16" spans="1:28" x14ac:dyDescent="0.2">
      <c r="A16" s="48" t="s">
        <v>504</v>
      </c>
      <c r="B16" s="48" t="s">
        <v>434</v>
      </c>
      <c r="C16" s="48" t="s">
        <v>435</v>
      </c>
      <c r="D16" s="49">
        <v>1</v>
      </c>
      <c r="E16" s="49">
        <v>13.61</v>
      </c>
      <c r="F16" s="48" t="s">
        <v>505</v>
      </c>
      <c r="G16" s="48" t="s">
        <v>180</v>
      </c>
      <c r="H16" s="48" t="s">
        <v>112</v>
      </c>
      <c r="I16" s="48" t="s">
        <v>437</v>
      </c>
      <c r="J16" s="48" t="s">
        <v>437</v>
      </c>
      <c r="K16" s="48"/>
      <c r="L16" s="48" t="s">
        <v>506</v>
      </c>
      <c r="M16" s="48" t="s">
        <v>41</v>
      </c>
      <c r="N16" s="48" t="s">
        <v>27</v>
      </c>
      <c r="O16" s="48" t="s">
        <v>17</v>
      </c>
      <c r="P16" s="48" t="s">
        <v>441</v>
      </c>
      <c r="Q16" s="49">
        <v>10549</v>
      </c>
      <c r="R16" s="48" t="s">
        <v>508</v>
      </c>
      <c r="S16" s="132">
        <v>7</v>
      </c>
    </row>
    <row r="17" spans="1:19" x14ac:dyDescent="0.2">
      <c r="A17" s="48" t="s">
        <v>509</v>
      </c>
      <c r="B17" s="48" t="s">
        <v>434</v>
      </c>
      <c r="C17" s="48" t="s">
        <v>435</v>
      </c>
      <c r="D17" s="49">
        <v>1</v>
      </c>
      <c r="E17" s="49">
        <v>27.22</v>
      </c>
      <c r="F17" s="48" t="s">
        <v>510</v>
      </c>
      <c r="G17" s="48" t="s">
        <v>181</v>
      </c>
      <c r="H17" s="48" t="s">
        <v>112</v>
      </c>
      <c r="I17" s="48" t="s">
        <v>437</v>
      </c>
      <c r="J17" s="48" t="s">
        <v>437</v>
      </c>
      <c r="K17" s="48"/>
      <c r="L17" s="48" t="s">
        <v>511</v>
      </c>
      <c r="M17" s="48" t="s">
        <v>42</v>
      </c>
      <c r="N17" s="48" t="s">
        <v>27</v>
      </c>
      <c r="O17" s="48" t="s">
        <v>17</v>
      </c>
      <c r="P17" s="48" t="s">
        <v>441</v>
      </c>
      <c r="Q17" s="49">
        <v>10549</v>
      </c>
      <c r="R17" s="48" t="s">
        <v>448</v>
      </c>
      <c r="S17" s="132">
        <v>8</v>
      </c>
    </row>
    <row r="18" spans="1:19" x14ac:dyDescent="0.2">
      <c r="A18" s="48" t="s">
        <v>512</v>
      </c>
      <c r="B18" s="48" t="s">
        <v>434</v>
      </c>
      <c r="C18" s="48" t="s">
        <v>435</v>
      </c>
      <c r="D18" s="49">
        <v>1</v>
      </c>
      <c r="E18" s="49">
        <v>24.95</v>
      </c>
      <c r="F18" s="48" t="s">
        <v>513</v>
      </c>
      <c r="G18" s="48" t="s">
        <v>211</v>
      </c>
      <c r="H18" s="48" t="s">
        <v>271</v>
      </c>
      <c r="I18" s="48" t="s">
        <v>437</v>
      </c>
      <c r="J18" s="48" t="s">
        <v>437</v>
      </c>
      <c r="K18" s="48"/>
      <c r="L18" s="48" t="s">
        <v>514</v>
      </c>
      <c r="M18" s="48" t="s">
        <v>43</v>
      </c>
      <c r="N18" s="48" t="s">
        <v>27</v>
      </c>
      <c r="O18" s="48" t="s">
        <v>17</v>
      </c>
      <c r="P18" s="48" t="s">
        <v>441</v>
      </c>
      <c r="Q18" s="49">
        <v>10509</v>
      </c>
      <c r="R18" s="48" t="s">
        <v>448</v>
      </c>
      <c r="S18" s="132">
        <v>9</v>
      </c>
    </row>
    <row r="19" spans="1:19" x14ac:dyDescent="0.2">
      <c r="A19" s="48" t="s">
        <v>518</v>
      </c>
      <c r="B19" s="48" t="s">
        <v>434</v>
      </c>
      <c r="C19" s="48" t="s">
        <v>435</v>
      </c>
      <c r="D19" s="49">
        <v>1</v>
      </c>
      <c r="E19" s="49">
        <v>13.61</v>
      </c>
      <c r="F19" s="48" t="s">
        <v>519</v>
      </c>
      <c r="G19" s="48" t="s">
        <v>120</v>
      </c>
      <c r="H19" s="48" t="s">
        <v>268</v>
      </c>
      <c r="I19" s="48" t="s">
        <v>437</v>
      </c>
      <c r="J19" s="48" t="s">
        <v>437</v>
      </c>
      <c r="K19" s="48"/>
      <c r="L19" s="48" t="s">
        <v>520</v>
      </c>
      <c r="M19" s="48" t="s">
        <v>45</v>
      </c>
      <c r="N19" s="48" t="s">
        <v>27</v>
      </c>
      <c r="O19" s="48" t="s">
        <v>17</v>
      </c>
      <c r="P19" s="48" t="s">
        <v>441</v>
      </c>
      <c r="Q19" s="49">
        <v>10549</v>
      </c>
      <c r="R19" s="48" t="s">
        <v>522</v>
      </c>
      <c r="S19" s="132">
        <v>9</v>
      </c>
    </row>
    <row r="20" spans="1:19" x14ac:dyDescent="0.2">
      <c r="A20" s="48" t="s">
        <v>515</v>
      </c>
      <c r="B20" s="48" t="s">
        <v>434</v>
      </c>
      <c r="C20" s="48" t="s">
        <v>435</v>
      </c>
      <c r="D20" s="49">
        <v>1</v>
      </c>
      <c r="E20" s="49">
        <v>29.48</v>
      </c>
      <c r="F20" s="48" t="s">
        <v>516</v>
      </c>
      <c r="G20" s="48" t="s">
        <v>141</v>
      </c>
      <c r="H20" s="48" t="s">
        <v>269</v>
      </c>
      <c r="I20" s="48" t="s">
        <v>437</v>
      </c>
      <c r="J20" s="48" t="s">
        <v>437</v>
      </c>
      <c r="K20" s="48"/>
      <c r="L20" s="48" t="s">
        <v>517</v>
      </c>
      <c r="M20" s="48" t="s">
        <v>44</v>
      </c>
      <c r="N20" s="48" t="s">
        <v>27</v>
      </c>
      <c r="O20" s="48" t="s">
        <v>17</v>
      </c>
      <c r="P20" s="48" t="s">
        <v>441</v>
      </c>
      <c r="Q20" s="49">
        <v>10509</v>
      </c>
      <c r="R20" s="48" t="s">
        <v>448</v>
      </c>
      <c r="S20" s="132">
        <v>10</v>
      </c>
    </row>
    <row r="21" spans="1:19" x14ac:dyDescent="0.2">
      <c r="A21" s="48" t="s">
        <v>523</v>
      </c>
      <c r="B21" s="48" t="s">
        <v>434</v>
      </c>
      <c r="C21" s="48" t="s">
        <v>435</v>
      </c>
      <c r="D21" s="49">
        <v>1</v>
      </c>
      <c r="E21" s="49">
        <v>18.14</v>
      </c>
      <c r="F21" s="48" t="s">
        <v>524</v>
      </c>
      <c r="G21" s="48" t="s">
        <v>142</v>
      </c>
      <c r="H21" s="48" t="s">
        <v>269</v>
      </c>
      <c r="I21" s="48" t="s">
        <v>437</v>
      </c>
      <c r="J21" s="48" t="s">
        <v>437</v>
      </c>
      <c r="K21" s="48"/>
      <c r="L21" s="48" t="s">
        <v>525</v>
      </c>
      <c r="M21" s="48" t="s">
        <v>46</v>
      </c>
      <c r="N21" s="48" t="s">
        <v>27</v>
      </c>
      <c r="O21" s="48" t="s">
        <v>17</v>
      </c>
      <c r="P21" s="48" t="s">
        <v>441</v>
      </c>
      <c r="Q21" s="49">
        <v>10549</v>
      </c>
      <c r="R21" s="48" t="s">
        <v>448</v>
      </c>
      <c r="S21" s="132">
        <v>11</v>
      </c>
    </row>
    <row r="22" spans="1:19" x14ac:dyDescent="0.2">
      <c r="A22" s="48" t="s">
        <v>527</v>
      </c>
      <c r="B22" s="48" t="s">
        <v>434</v>
      </c>
      <c r="C22" s="48" t="s">
        <v>435</v>
      </c>
      <c r="D22" s="49">
        <v>1</v>
      </c>
      <c r="E22" s="49">
        <v>29.03</v>
      </c>
      <c r="F22" s="48" t="s">
        <v>528</v>
      </c>
      <c r="G22" s="48" t="s">
        <v>121</v>
      </c>
      <c r="H22" s="48" t="s">
        <v>268</v>
      </c>
      <c r="I22" s="48" t="s">
        <v>437</v>
      </c>
      <c r="J22" s="48" t="s">
        <v>437</v>
      </c>
      <c r="K22" s="48"/>
      <c r="L22" s="48" t="s">
        <v>529</v>
      </c>
      <c r="M22" s="48" t="s">
        <v>47</v>
      </c>
      <c r="N22" s="48" t="s">
        <v>27</v>
      </c>
      <c r="O22" s="48" t="s">
        <v>17</v>
      </c>
      <c r="P22" s="48" t="s">
        <v>441</v>
      </c>
      <c r="Q22" s="49">
        <v>10549</v>
      </c>
      <c r="R22" s="48" t="s">
        <v>530</v>
      </c>
      <c r="S22" s="132">
        <v>12</v>
      </c>
    </row>
    <row r="23" spans="1:19" x14ac:dyDescent="0.2">
      <c r="A23" s="48" t="s">
        <v>531</v>
      </c>
      <c r="B23" s="48" t="s">
        <v>434</v>
      </c>
      <c r="C23" s="48" t="s">
        <v>435</v>
      </c>
      <c r="D23" s="49">
        <v>1</v>
      </c>
      <c r="E23" s="49">
        <v>29.03</v>
      </c>
      <c r="F23" s="48" t="s">
        <v>532</v>
      </c>
      <c r="G23" s="48" t="s">
        <v>122</v>
      </c>
      <c r="H23" s="48" t="s">
        <v>268</v>
      </c>
      <c r="I23" s="48" t="s">
        <v>437</v>
      </c>
      <c r="J23" s="48" t="s">
        <v>437</v>
      </c>
      <c r="K23" s="48"/>
      <c r="L23" s="48" t="s">
        <v>533</v>
      </c>
      <c r="M23" s="48" t="s">
        <v>48</v>
      </c>
      <c r="N23" s="48" t="s">
        <v>49</v>
      </c>
      <c r="O23" s="48" t="s">
        <v>17</v>
      </c>
      <c r="P23" s="48" t="s">
        <v>441</v>
      </c>
      <c r="Q23" s="49">
        <v>10507</v>
      </c>
      <c r="R23" s="48" t="s">
        <v>530</v>
      </c>
      <c r="S23" s="132">
        <v>13</v>
      </c>
    </row>
    <row r="24" spans="1:19" x14ac:dyDescent="0.2">
      <c r="A24" s="48" t="s">
        <v>534</v>
      </c>
      <c r="B24" s="48" t="s">
        <v>434</v>
      </c>
      <c r="C24" s="48" t="s">
        <v>435</v>
      </c>
      <c r="D24" s="49">
        <v>1</v>
      </c>
      <c r="E24" s="49">
        <v>24.49</v>
      </c>
      <c r="F24" s="48" t="s">
        <v>535</v>
      </c>
      <c r="G24" s="48" t="s">
        <v>123</v>
      </c>
      <c r="H24" s="48" t="s">
        <v>268</v>
      </c>
      <c r="I24" s="48" t="s">
        <v>437</v>
      </c>
      <c r="J24" s="48" t="s">
        <v>437</v>
      </c>
      <c r="K24" s="48"/>
      <c r="L24" s="48" t="s">
        <v>536</v>
      </c>
      <c r="M24" s="48" t="s">
        <v>50</v>
      </c>
      <c r="N24" s="48" t="s">
        <v>27</v>
      </c>
      <c r="O24" s="48" t="s">
        <v>17</v>
      </c>
      <c r="P24" s="48" t="s">
        <v>441</v>
      </c>
      <c r="Q24" s="49">
        <v>10549</v>
      </c>
      <c r="R24" s="48" t="s">
        <v>530</v>
      </c>
      <c r="S24" s="132">
        <v>14</v>
      </c>
    </row>
    <row r="25" spans="1:19" x14ac:dyDescent="0.2">
      <c r="A25" s="48" t="s">
        <v>537</v>
      </c>
      <c r="B25" s="48" t="s">
        <v>434</v>
      </c>
      <c r="C25" s="48" t="s">
        <v>435</v>
      </c>
      <c r="D25" s="49">
        <v>1</v>
      </c>
      <c r="E25" s="49">
        <v>25.4</v>
      </c>
      <c r="F25" s="48" t="s">
        <v>538</v>
      </c>
      <c r="G25" s="48" t="s">
        <v>124</v>
      </c>
      <c r="H25" s="48" t="s">
        <v>268</v>
      </c>
      <c r="I25" s="48" t="s">
        <v>437</v>
      </c>
      <c r="J25" s="48" t="s">
        <v>437</v>
      </c>
      <c r="K25" s="48"/>
      <c r="L25" s="48" t="s">
        <v>539</v>
      </c>
      <c r="M25" s="48" t="s">
        <v>51</v>
      </c>
      <c r="N25" s="48" t="s">
        <v>27</v>
      </c>
      <c r="O25" s="48" t="s">
        <v>17</v>
      </c>
      <c r="P25" s="48" t="s">
        <v>441</v>
      </c>
      <c r="Q25" s="49">
        <v>10509</v>
      </c>
      <c r="R25" s="48" t="s">
        <v>530</v>
      </c>
      <c r="S25" s="132">
        <v>15</v>
      </c>
    </row>
    <row r="26" spans="1:19" x14ac:dyDescent="0.2">
      <c r="A26" s="48" t="s">
        <v>540</v>
      </c>
      <c r="B26" s="48" t="s">
        <v>434</v>
      </c>
      <c r="C26" s="48" t="s">
        <v>435</v>
      </c>
      <c r="D26" s="49">
        <v>1</v>
      </c>
      <c r="E26" s="49">
        <v>9.07</v>
      </c>
      <c r="F26" s="48" t="s">
        <v>541</v>
      </c>
      <c r="G26" s="48" t="s">
        <v>125</v>
      </c>
      <c r="H26" s="48" t="s">
        <v>268</v>
      </c>
      <c r="I26" s="48" t="s">
        <v>437</v>
      </c>
      <c r="J26" s="48" t="s">
        <v>437</v>
      </c>
      <c r="K26" s="48"/>
      <c r="L26" s="48" t="s">
        <v>542</v>
      </c>
      <c r="M26" s="48" t="s">
        <v>52</v>
      </c>
      <c r="N26" s="48" t="s">
        <v>25</v>
      </c>
      <c r="O26" s="48" t="s">
        <v>17</v>
      </c>
      <c r="P26" s="48" t="s">
        <v>441</v>
      </c>
      <c r="Q26" s="49">
        <v>10509</v>
      </c>
      <c r="R26" s="48" t="s">
        <v>543</v>
      </c>
      <c r="S26" s="132">
        <v>16</v>
      </c>
    </row>
    <row r="27" spans="1:19" x14ac:dyDescent="0.2">
      <c r="A27" s="48" t="s">
        <v>544</v>
      </c>
      <c r="B27" s="48" t="s">
        <v>434</v>
      </c>
      <c r="C27" s="48" t="s">
        <v>435</v>
      </c>
      <c r="D27" s="49">
        <v>1</v>
      </c>
      <c r="E27" s="49">
        <v>4.08</v>
      </c>
      <c r="F27" s="48" t="s">
        <v>545</v>
      </c>
      <c r="G27" s="48" t="s">
        <v>126</v>
      </c>
      <c r="H27" s="48" t="s">
        <v>268</v>
      </c>
      <c r="I27" s="48" t="s">
        <v>437</v>
      </c>
      <c r="J27" s="48" t="s">
        <v>437</v>
      </c>
      <c r="K27" s="48"/>
      <c r="L27" s="48" t="s">
        <v>546</v>
      </c>
      <c r="M27" s="48" t="s">
        <v>53</v>
      </c>
      <c r="N27" s="48" t="s">
        <v>27</v>
      </c>
      <c r="O27" s="48" t="s">
        <v>17</v>
      </c>
      <c r="P27" s="48" t="s">
        <v>441</v>
      </c>
      <c r="Q27" s="49">
        <v>10549</v>
      </c>
      <c r="R27" s="48" t="s">
        <v>530</v>
      </c>
      <c r="S27" s="132">
        <v>17</v>
      </c>
    </row>
    <row r="28" spans="1:19" x14ac:dyDescent="0.2">
      <c r="A28" s="48" t="s">
        <v>547</v>
      </c>
      <c r="B28" s="48" t="s">
        <v>434</v>
      </c>
      <c r="C28" s="48" t="s">
        <v>435</v>
      </c>
      <c r="D28" s="49">
        <v>1</v>
      </c>
      <c r="E28" s="49">
        <v>9.98</v>
      </c>
      <c r="F28" s="48" t="s">
        <v>548</v>
      </c>
      <c r="G28" s="48" t="s">
        <v>127</v>
      </c>
      <c r="H28" s="48" t="s">
        <v>268</v>
      </c>
      <c r="I28" s="48" t="s">
        <v>437</v>
      </c>
      <c r="J28" s="48" t="s">
        <v>437</v>
      </c>
      <c r="K28" s="48"/>
      <c r="L28" s="48" t="s">
        <v>549</v>
      </c>
      <c r="M28" s="48" t="s">
        <v>54</v>
      </c>
      <c r="N28" s="48" t="s">
        <v>55</v>
      </c>
      <c r="O28" s="48" t="s">
        <v>17</v>
      </c>
      <c r="P28" s="48" t="s">
        <v>441</v>
      </c>
      <c r="Q28" s="49">
        <v>10536</v>
      </c>
      <c r="R28" s="48" t="s">
        <v>550</v>
      </c>
      <c r="S28" s="132">
        <v>18</v>
      </c>
    </row>
    <row r="29" spans="1:19" x14ac:dyDescent="0.2">
      <c r="A29" s="48" t="s">
        <v>551</v>
      </c>
      <c r="B29" s="48" t="s">
        <v>434</v>
      </c>
      <c r="C29" s="48" t="s">
        <v>435</v>
      </c>
      <c r="D29" s="49">
        <v>1</v>
      </c>
      <c r="E29" s="49">
        <v>9.98</v>
      </c>
      <c r="F29" s="48" t="s">
        <v>552</v>
      </c>
      <c r="G29" s="48" t="s">
        <v>128</v>
      </c>
      <c r="H29" s="48" t="s">
        <v>268</v>
      </c>
      <c r="I29" s="48" t="s">
        <v>437</v>
      </c>
      <c r="J29" s="48" t="s">
        <v>437</v>
      </c>
      <c r="K29" s="48"/>
      <c r="L29" s="48" t="s">
        <v>553</v>
      </c>
      <c r="M29" s="48" t="s">
        <v>56</v>
      </c>
      <c r="N29" s="48" t="s">
        <v>27</v>
      </c>
      <c r="O29" s="48" t="s">
        <v>17</v>
      </c>
      <c r="P29" s="48" t="s">
        <v>441</v>
      </c>
      <c r="Q29" s="49">
        <v>10549</v>
      </c>
      <c r="R29" s="48" t="s">
        <v>550</v>
      </c>
      <c r="S29" s="132">
        <v>19</v>
      </c>
    </row>
    <row r="30" spans="1:19" x14ac:dyDescent="0.2">
      <c r="A30" s="48" t="s">
        <v>554</v>
      </c>
      <c r="B30" s="48" t="s">
        <v>434</v>
      </c>
      <c r="C30" s="48" t="s">
        <v>435</v>
      </c>
      <c r="D30" s="49">
        <v>1</v>
      </c>
      <c r="E30" s="49">
        <v>10.43</v>
      </c>
      <c r="F30" s="48" t="s">
        <v>555</v>
      </c>
      <c r="G30" s="48" t="s">
        <v>129</v>
      </c>
      <c r="H30" s="48" t="s">
        <v>268</v>
      </c>
      <c r="I30" s="48" t="s">
        <v>437</v>
      </c>
      <c r="J30" s="48" t="s">
        <v>437</v>
      </c>
      <c r="K30" s="48"/>
      <c r="L30" s="48" t="s">
        <v>556</v>
      </c>
      <c r="M30" s="48" t="s">
        <v>57</v>
      </c>
      <c r="N30" s="48" t="s">
        <v>25</v>
      </c>
      <c r="O30" s="48" t="s">
        <v>17</v>
      </c>
      <c r="P30" s="48" t="s">
        <v>441</v>
      </c>
      <c r="Q30" s="49">
        <v>10509</v>
      </c>
      <c r="R30" s="48" t="s">
        <v>550</v>
      </c>
      <c r="S30" s="49">
        <v>20</v>
      </c>
    </row>
    <row r="31" spans="1:19" x14ac:dyDescent="0.2">
      <c r="A31" s="48" t="s">
        <v>557</v>
      </c>
      <c r="B31" s="48" t="s">
        <v>434</v>
      </c>
      <c r="C31" s="48" t="s">
        <v>435</v>
      </c>
      <c r="D31" s="49">
        <v>1</v>
      </c>
      <c r="E31" s="49">
        <v>15.88</v>
      </c>
      <c r="F31" s="48" t="s">
        <v>558</v>
      </c>
      <c r="G31" s="48" t="s">
        <v>130</v>
      </c>
      <c r="H31" s="48" t="s">
        <v>268</v>
      </c>
      <c r="I31" s="48" t="s">
        <v>437</v>
      </c>
      <c r="J31" s="48" t="s">
        <v>437</v>
      </c>
      <c r="K31" s="48"/>
      <c r="L31" s="48" t="s">
        <v>559</v>
      </c>
      <c r="M31" s="48" t="s">
        <v>58</v>
      </c>
      <c r="N31" s="48" t="s">
        <v>55</v>
      </c>
      <c r="O31" s="48" t="s">
        <v>17</v>
      </c>
      <c r="P31" s="48" t="s">
        <v>441</v>
      </c>
      <c r="Q31" s="49">
        <v>10536</v>
      </c>
      <c r="R31" s="48" t="s">
        <v>560</v>
      </c>
      <c r="S31" s="49">
        <v>21</v>
      </c>
    </row>
    <row r="32" spans="1:19" x14ac:dyDescent="0.2">
      <c r="A32" s="48" t="s">
        <v>561</v>
      </c>
      <c r="B32" s="48" t="s">
        <v>434</v>
      </c>
      <c r="C32" s="48" t="s">
        <v>435</v>
      </c>
      <c r="D32" s="49">
        <v>1</v>
      </c>
      <c r="E32" s="49">
        <v>16.78</v>
      </c>
      <c r="F32" s="48" t="s">
        <v>562</v>
      </c>
      <c r="G32" s="48" t="s">
        <v>131</v>
      </c>
      <c r="H32" s="48" t="s">
        <v>268</v>
      </c>
      <c r="I32" s="48" t="s">
        <v>437</v>
      </c>
      <c r="J32" s="48" t="s">
        <v>437</v>
      </c>
      <c r="K32" s="48"/>
      <c r="L32" s="48" t="s">
        <v>563</v>
      </c>
      <c r="M32" s="48" t="s">
        <v>59</v>
      </c>
      <c r="N32" s="48" t="s">
        <v>25</v>
      </c>
      <c r="O32" s="48" t="s">
        <v>17</v>
      </c>
      <c r="P32" s="48" t="s">
        <v>441</v>
      </c>
      <c r="Q32" s="49">
        <v>10509</v>
      </c>
      <c r="R32" s="48" t="s">
        <v>564</v>
      </c>
      <c r="S32" s="49">
        <v>21</v>
      </c>
    </row>
    <row r="33" spans="1:19" x14ac:dyDescent="0.2">
      <c r="A33" s="48" t="s">
        <v>565</v>
      </c>
      <c r="B33" s="48" t="s">
        <v>434</v>
      </c>
      <c r="C33" s="48" t="s">
        <v>435</v>
      </c>
      <c r="D33" s="49">
        <v>1</v>
      </c>
      <c r="E33" s="49">
        <v>24.95</v>
      </c>
      <c r="F33" s="48" t="s">
        <v>566</v>
      </c>
      <c r="G33" s="48" t="s">
        <v>247</v>
      </c>
      <c r="H33" s="48" t="s">
        <v>273</v>
      </c>
      <c r="I33" s="48" t="s">
        <v>437</v>
      </c>
      <c r="J33" s="48" t="s">
        <v>437</v>
      </c>
      <c r="K33" s="48"/>
      <c r="L33" s="48" t="s">
        <v>567</v>
      </c>
      <c r="M33" s="48" t="s">
        <v>60</v>
      </c>
      <c r="N33" s="48" t="s">
        <v>27</v>
      </c>
      <c r="O33" s="48" t="s">
        <v>17</v>
      </c>
      <c r="P33" s="48" t="s">
        <v>441</v>
      </c>
      <c r="Q33" s="49">
        <v>10549</v>
      </c>
      <c r="R33" s="48" t="s">
        <v>568</v>
      </c>
      <c r="S33" s="49">
        <v>22</v>
      </c>
    </row>
    <row r="34" spans="1:19" x14ac:dyDescent="0.2">
      <c r="A34" s="48" t="s">
        <v>569</v>
      </c>
      <c r="B34" s="48" t="s">
        <v>434</v>
      </c>
      <c r="C34" s="48" t="s">
        <v>435</v>
      </c>
      <c r="D34" s="49">
        <v>1</v>
      </c>
      <c r="E34" s="49">
        <v>14.97</v>
      </c>
      <c r="F34" s="48" t="s">
        <v>570</v>
      </c>
      <c r="G34" s="48" t="s">
        <v>185</v>
      </c>
      <c r="H34" s="48" t="s">
        <v>112</v>
      </c>
      <c r="I34" s="48" t="s">
        <v>437</v>
      </c>
      <c r="J34" s="48" t="s">
        <v>437</v>
      </c>
      <c r="K34" s="48"/>
      <c r="L34" s="48" t="s">
        <v>571</v>
      </c>
      <c r="M34" s="48" t="s">
        <v>61</v>
      </c>
      <c r="N34" s="48" t="s">
        <v>27</v>
      </c>
      <c r="O34" s="48" t="s">
        <v>17</v>
      </c>
      <c r="P34" s="48" t="s">
        <v>441</v>
      </c>
      <c r="Q34" s="49">
        <v>10549</v>
      </c>
      <c r="R34" s="48" t="s">
        <v>572</v>
      </c>
      <c r="S34" s="49">
        <v>22</v>
      </c>
    </row>
    <row r="35" spans="1:19" x14ac:dyDescent="0.2">
      <c r="A35" s="48" t="s">
        <v>573</v>
      </c>
      <c r="B35" s="48" t="s">
        <v>434</v>
      </c>
      <c r="C35" s="48" t="s">
        <v>435</v>
      </c>
      <c r="D35" s="49">
        <v>1</v>
      </c>
      <c r="E35" s="49">
        <v>19.5</v>
      </c>
      <c r="F35" s="48" t="s">
        <v>574</v>
      </c>
      <c r="G35" s="48" t="s">
        <v>186</v>
      </c>
      <c r="H35" s="48" t="s">
        <v>112</v>
      </c>
      <c r="I35" s="48" t="s">
        <v>437</v>
      </c>
      <c r="J35" s="48" t="s">
        <v>437</v>
      </c>
      <c r="K35" s="48"/>
      <c r="L35" s="48" t="s">
        <v>575</v>
      </c>
      <c r="M35" s="48" t="s">
        <v>62</v>
      </c>
      <c r="N35" s="48" t="s">
        <v>63</v>
      </c>
      <c r="O35" s="48" t="s">
        <v>17</v>
      </c>
      <c r="P35" s="48" t="s">
        <v>441</v>
      </c>
      <c r="Q35" s="49">
        <v>10514</v>
      </c>
      <c r="R35" s="48" t="s">
        <v>572</v>
      </c>
      <c r="S35" s="49">
        <v>23</v>
      </c>
    </row>
    <row r="36" spans="1:19" x14ac:dyDescent="0.2">
      <c r="A36" s="48" t="s">
        <v>576</v>
      </c>
      <c r="B36" s="48" t="s">
        <v>434</v>
      </c>
      <c r="C36" s="48" t="s">
        <v>435</v>
      </c>
      <c r="D36" s="49">
        <v>1</v>
      </c>
      <c r="E36" s="49">
        <v>20.41</v>
      </c>
      <c r="F36" s="48" t="s">
        <v>577</v>
      </c>
      <c r="G36" s="48" t="s">
        <v>144</v>
      </c>
      <c r="H36" s="48" t="s">
        <v>269</v>
      </c>
      <c r="I36" s="48" t="s">
        <v>437</v>
      </c>
      <c r="J36" s="48" t="s">
        <v>437</v>
      </c>
      <c r="K36" s="48"/>
      <c r="L36" s="48" t="s">
        <v>578</v>
      </c>
      <c r="M36" s="48" t="s">
        <v>64</v>
      </c>
      <c r="N36" s="48" t="s">
        <v>27</v>
      </c>
      <c r="O36" s="48" t="s">
        <v>17</v>
      </c>
      <c r="P36" s="48" t="s">
        <v>441</v>
      </c>
      <c r="Q36" s="49">
        <v>10549</v>
      </c>
      <c r="R36" s="48" t="s">
        <v>580</v>
      </c>
      <c r="S36" s="49">
        <v>23</v>
      </c>
    </row>
    <row r="37" spans="1:19" x14ac:dyDescent="0.2">
      <c r="A37" s="48" t="s">
        <v>581</v>
      </c>
      <c r="B37" s="48" t="s">
        <v>434</v>
      </c>
      <c r="C37" s="48" t="s">
        <v>435</v>
      </c>
      <c r="D37" s="49">
        <v>1</v>
      </c>
      <c r="E37" s="49">
        <v>20.41</v>
      </c>
      <c r="F37" s="48" t="s">
        <v>582</v>
      </c>
      <c r="G37" s="48" t="s">
        <v>300</v>
      </c>
      <c r="H37" s="48" t="s">
        <v>268</v>
      </c>
      <c r="I37" s="48" t="s">
        <v>437</v>
      </c>
      <c r="J37" s="48" t="s">
        <v>437</v>
      </c>
      <c r="K37" s="48"/>
      <c r="L37" s="48" t="s">
        <v>583</v>
      </c>
      <c r="M37" s="48" t="s">
        <v>65</v>
      </c>
      <c r="N37" s="48" t="s">
        <v>21</v>
      </c>
      <c r="O37" s="48" t="s">
        <v>17</v>
      </c>
      <c r="P37" s="48" t="s">
        <v>441</v>
      </c>
      <c r="Q37" s="49">
        <v>10080</v>
      </c>
      <c r="R37" s="48" t="s">
        <v>584</v>
      </c>
      <c r="S37" s="49">
        <v>24</v>
      </c>
    </row>
    <row r="38" spans="1:19" x14ac:dyDescent="0.2">
      <c r="A38" s="48" t="s">
        <v>585</v>
      </c>
      <c r="B38" s="48" t="s">
        <v>434</v>
      </c>
      <c r="C38" s="48" t="s">
        <v>435</v>
      </c>
      <c r="D38" s="49">
        <v>1</v>
      </c>
      <c r="E38" s="49">
        <v>20.41</v>
      </c>
      <c r="F38" s="48" t="s">
        <v>586</v>
      </c>
      <c r="G38" s="48" t="s">
        <v>145</v>
      </c>
      <c r="H38" s="48" t="s">
        <v>269</v>
      </c>
      <c r="I38" s="48" t="s">
        <v>437</v>
      </c>
      <c r="J38" s="48" t="s">
        <v>437</v>
      </c>
      <c r="K38" s="48"/>
      <c r="L38" s="48" t="s">
        <v>587</v>
      </c>
      <c r="M38" s="48" t="s">
        <v>66</v>
      </c>
      <c r="N38" s="48" t="s">
        <v>25</v>
      </c>
      <c r="O38" s="48" t="s">
        <v>17</v>
      </c>
      <c r="P38" s="48" t="s">
        <v>441</v>
      </c>
      <c r="Q38" s="49">
        <v>10509</v>
      </c>
      <c r="R38" s="48" t="s">
        <v>588</v>
      </c>
      <c r="S38" s="49">
        <v>24</v>
      </c>
    </row>
    <row r="39" spans="1:19" x14ac:dyDescent="0.2">
      <c r="A39" s="48" t="s">
        <v>589</v>
      </c>
      <c r="B39" s="48" t="s">
        <v>434</v>
      </c>
      <c r="C39" s="48" t="s">
        <v>435</v>
      </c>
      <c r="D39" s="49">
        <v>1</v>
      </c>
      <c r="E39" s="49">
        <v>20.41</v>
      </c>
      <c r="F39" s="48" t="s">
        <v>590</v>
      </c>
      <c r="G39" s="48" t="s">
        <v>167</v>
      </c>
      <c r="H39" s="48" t="s">
        <v>162</v>
      </c>
      <c r="I39" s="48" t="s">
        <v>437</v>
      </c>
      <c r="J39" s="48" t="s">
        <v>437</v>
      </c>
      <c r="K39" s="48"/>
      <c r="L39" s="48" t="s">
        <v>591</v>
      </c>
      <c r="M39" s="48" t="s">
        <v>67</v>
      </c>
      <c r="N39" s="48" t="s">
        <v>27</v>
      </c>
      <c r="O39" s="48" t="s">
        <v>17</v>
      </c>
      <c r="P39" s="48" t="s">
        <v>441</v>
      </c>
      <c r="Q39" s="49">
        <v>10549</v>
      </c>
      <c r="R39" s="48" t="s">
        <v>592</v>
      </c>
      <c r="S39" s="49">
        <v>25</v>
      </c>
    </row>
    <row r="40" spans="1:19" x14ac:dyDescent="0.2">
      <c r="A40" s="48" t="s">
        <v>593</v>
      </c>
      <c r="B40" s="48" t="s">
        <v>434</v>
      </c>
      <c r="C40" s="48" t="s">
        <v>435</v>
      </c>
      <c r="D40" s="49">
        <v>1</v>
      </c>
      <c r="E40" s="49">
        <v>20.41</v>
      </c>
      <c r="F40" s="48" t="s">
        <v>594</v>
      </c>
      <c r="G40" s="48" t="s">
        <v>147</v>
      </c>
      <c r="H40" s="48" t="s">
        <v>269</v>
      </c>
      <c r="I40" s="48" t="s">
        <v>437</v>
      </c>
      <c r="J40" s="48" t="s">
        <v>437</v>
      </c>
      <c r="K40" s="48"/>
      <c r="L40" s="48" t="s">
        <v>595</v>
      </c>
      <c r="M40" s="48" t="s">
        <v>68</v>
      </c>
      <c r="N40" s="48" t="s">
        <v>69</v>
      </c>
      <c r="O40" s="48" t="s">
        <v>17</v>
      </c>
      <c r="P40" s="48" t="s">
        <v>441</v>
      </c>
      <c r="Q40" s="49">
        <v>10009</v>
      </c>
      <c r="R40" s="48" t="s">
        <v>597</v>
      </c>
      <c r="S40" s="49">
        <v>25</v>
      </c>
    </row>
    <row r="41" spans="1:19" x14ac:dyDescent="0.2">
      <c r="A41" s="48" t="s">
        <v>598</v>
      </c>
      <c r="B41" s="48" t="s">
        <v>434</v>
      </c>
      <c r="C41" s="48" t="s">
        <v>435</v>
      </c>
      <c r="D41" s="49">
        <v>1</v>
      </c>
      <c r="E41" s="49">
        <v>22.68</v>
      </c>
      <c r="F41" s="48" t="s">
        <v>599</v>
      </c>
      <c r="G41" s="48" t="s">
        <v>302</v>
      </c>
      <c r="H41" s="48" t="s">
        <v>268</v>
      </c>
      <c r="I41" s="48" t="s">
        <v>437</v>
      </c>
      <c r="J41" s="48" t="s">
        <v>437</v>
      </c>
      <c r="K41" s="48"/>
      <c r="L41" s="48" t="s">
        <v>600</v>
      </c>
      <c r="M41" s="48" t="s">
        <v>70</v>
      </c>
      <c r="N41" s="48" t="s">
        <v>69</v>
      </c>
      <c r="O41" s="48" t="s">
        <v>17</v>
      </c>
      <c r="P41" s="48" t="s">
        <v>441</v>
      </c>
      <c r="Q41" s="49">
        <v>10001</v>
      </c>
      <c r="R41" s="48" t="s">
        <v>601</v>
      </c>
      <c r="S41" s="49">
        <v>26</v>
      </c>
    </row>
    <row r="42" spans="1:19" x14ac:dyDescent="0.2">
      <c r="A42" s="48" t="s">
        <v>602</v>
      </c>
      <c r="B42" s="48" t="s">
        <v>434</v>
      </c>
      <c r="C42" s="48" t="s">
        <v>435</v>
      </c>
      <c r="D42" s="49">
        <v>1</v>
      </c>
      <c r="E42" s="49">
        <v>22.68</v>
      </c>
      <c r="F42" s="48" t="s">
        <v>603</v>
      </c>
      <c r="G42" s="48" t="s">
        <v>303</v>
      </c>
      <c r="H42" s="48" t="s">
        <v>268</v>
      </c>
      <c r="I42" s="48" t="s">
        <v>437</v>
      </c>
      <c r="J42" s="48" t="s">
        <v>437</v>
      </c>
      <c r="K42" s="48"/>
      <c r="L42" s="48" t="s">
        <v>604</v>
      </c>
      <c r="M42" s="48" t="s">
        <v>71</v>
      </c>
      <c r="N42" s="48" t="s">
        <v>27</v>
      </c>
      <c r="O42" s="48" t="s">
        <v>17</v>
      </c>
      <c r="P42" s="48" t="s">
        <v>441</v>
      </c>
      <c r="Q42" s="49">
        <v>10549</v>
      </c>
      <c r="R42" s="48" t="s">
        <v>605</v>
      </c>
      <c r="S42" s="49">
        <v>27</v>
      </c>
    </row>
    <row r="43" spans="1:19" x14ac:dyDescent="0.2">
      <c r="A43" s="48" t="s">
        <v>606</v>
      </c>
      <c r="B43" s="48" t="s">
        <v>434</v>
      </c>
      <c r="C43" s="48" t="s">
        <v>435</v>
      </c>
      <c r="D43" s="49">
        <v>1</v>
      </c>
      <c r="E43" s="49">
        <v>23.59</v>
      </c>
      <c r="F43" s="48" t="s">
        <v>607</v>
      </c>
      <c r="G43" s="48" t="s">
        <v>149</v>
      </c>
      <c r="H43" s="48" t="s">
        <v>269</v>
      </c>
      <c r="I43" s="48" t="s">
        <v>437</v>
      </c>
      <c r="J43" s="48" t="s">
        <v>437</v>
      </c>
      <c r="K43" s="48"/>
      <c r="L43" s="48" t="s">
        <v>608</v>
      </c>
      <c r="M43" s="48" t="s">
        <v>72</v>
      </c>
      <c r="N43" s="48" t="s">
        <v>27</v>
      </c>
      <c r="O43" s="48" t="s">
        <v>17</v>
      </c>
      <c r="P43" s="48" t="s">
        <v>441</v>
      </c>
      <c r="Q43" s="49">
        <v>10549</v>
      </c>
      <c r="R43" s="48" t="s">
        <v>609</v>
      </c>
      <c r="S43" s="49">
        <v>28</v>
      </c>
    </row>
    <row r="44" spans="1:19" x14ac:dyDescent="0.2">
      <c r="A44" s="48" t="s">
        <v>610</v>
      </c>
      <c r="B44" s="48" t="s">
        <v>434</v>
      </c>
      <c r="C44" s="48" t="s">
        <v>435</v>
      </c>
      <c r="D44" s="49">
        <v>1</v>
      </c>
      <c r="E44" s="49">
        <v>11.79</v>
      </c>
      <c r="F44" s="48" t="s">
        <v>611</v>
      </c>
      <c r="G44" s="48" t="s">
        <v>188</v>
      </c>
      <c r="H44" s="48" t="s">
        <v>112</v>
      </c>
      <c r="I44" s="48" t="s">
        <v>437</v>
      </c>
      <c r="J44" s="48" t="s">
        <v>437</v>
      </c>
      <c r="K44" s="48"/>
      <c r="L44" s="48" t="s">
        <v>612</v>
      </c>
      <c r="M44" s="48" t="s">
        <v>73</v>
      </c>
      <c r="N44" s="48" t="s">
        <v>27</v>
      </c>
      <c r="O44" s="48" t="s">
        <v>17</v>
      </c>
      <c r="P44" s="48" t="s">
        <v>441</v>
      </c>
      <c r="Q44" s="49">
        <v>10549</v>
      </c>
      <c r="R44" s="48" t="s">
        <v>613</v>
      </c>
      <c r="S44" s="49">
        <v>28</v>
      </c>
    </row>
    <row r="45" spans="1:19" x14ac:dyDescent="0.2">
      <c r="A45" s="48" t="s">
        <v>614</v>
      </c>
      <c r="B45" s="48" t="s">
        <v>434</v>
      </c>
      <c r="C45" s="48" t="s">
        <v>435</v>
      </c>
      <c r="D45" s="49">
        <v>1</v>
      </c>
      <c r="E45" s="49">
        <v>24.95</v>
      </c>
      <c r="F45" s="48" t="s">
        <v>615</v>
      </c>
      <c r="G45" s="48" t="s">
        <v>190</v>
      </c>
      <c r="H45" s="48" t="s">
        <v>112</v>
      </c>
      <c r="I45" s="48" t="s">
        <v>437</v>
      </c>
      <c r="J45" s="48" t="s">
        <v>437</v>
      </c>
      <c r="K45" s="48"/>
      <c r="L45" s="48" t="s">
        <v>616</v>
      </c>
      <c r="M45" s="48" t="s">
        <v>74</v>
      </c>
      <c r="N45" s="48" t="s">
        <v>27</v>
      </c>
      <c r="O45" s="48" t="s">
        <v>17</v>
      </c>
      <c r="P45" s="48" t="s">
        <v>441</v>
      </c>
      <c r="Q45" s="49">
        <v>10549</v>
      </c>
      <c r="R45" s="48" t="s">
        <v>618</v>
      </c>
      <c r="S45" s="49">
        <v>29</v>
      </c>
    </row>
    <row r="46" spans="1:19" x14ac:dyDescent="0.2">
      <c r="A46" s="48" t="s">
        <v>652</v>
      </c>
      <c r="B46" s="48" t="s">
        <v>434</v>
      </c>
      <c r="C46" s="48" t="s">
        <v>435</v>
      </c>
      <c r="D46" s="49">
        <v>1</v>
      </c>
      <c r="E46" s="49">
        <v>34.47</v>
      </c>
      <c r="F46" s="48" t="s">
        <v>653</v>
      </c>
      <c r="G46" s="48" t="s">
        <v>156</v>
      </c>
      <c r="H46" s="48" t="s">
        <v>269</v>
      </c>
      <c r="I46" s="48" t="s">
        <v>437</v>
      </c>
      <c r="J46" s="48" t="s">
        <v>437</v>
      </c>
      <c r="K46" s="48"/>
      <c r="L46" s="48" t="s">
        <v>654</v>
      </c>
      <c r="M46" s="48" t="s">
        <v>96</v>
      </c>
      <c r="N46" s="48" t="s">
        <v>25</v>
      </c>
      <c r="O46" s="48" t="s">
        <v>17</v>
      </c>
      <c r="P46" s="48" t="s">
        <v>441</v>
      </c>
      <c r="Q46" s="49">
        <v>10509</v>
      </c>
      <c r="R46" s="48" t="s">
        <v>656</v>
      </c>
      <c r="S46" s="49">
        <v>30</v>
      </c>
    </row>
    <row r="47" spans="1:19" x14ac:dyDescent="0.2">
      <c r="A47" s="48" t="s">
        <v>647</v>
      </c>
      <c r="B47" s="48" t="s">
        <v>434</v>
      </c>
      <c r="C47" s="48" t="s">
        <v>435</v>
      </c>
      <c r="D47" s="49">
        <v>1</v>
      </c>
      <c r="E47" s="49">
        <v>16.78</v>
      </c>
      <c r="F47" s="48" t="s">
        <v>648</v>
      </c>
      <c r="G47" s="48" t="s">
        <v>198</v>
      </c>
      <c r="H47" s="48" t="s">
        <v>270</v>
      </c>
      <c r="I47" s="48" t="s">
        <v>437</v>
      </c>
      <c r="J47" s="48" t="s">
        <v>437</v>
      </c>
      <c r="K47" s="48"/>
      <c r="L47" s="48" t="s">
        <v>649</v>
      </c>
      <c r="M47" s="48" t="s">
        <v>91</v>
      </c>
      <c r="N47" s="48" t="s">
        <v>27</v>
      </c>
      <c r="O47" s="48" t="s">
        <v>17</v>
      </c>
      <c r="P47" s="48" t="s">
        <v>441</v>
      </c>
      <c r="Q47" s="49">
        <v>10509</v>
      </c>
      <c r="R47" s="48" t="s">
        <v>651</v>
      </c>
      <c r="S47" s="49">
        <v>31</v>
      </c>
    </row>
    <row r="48" spans="1:19" x14ac:dyDescent="0.2">
      <c r="A48" s="48" t="s">
        <v>619</v>
      </c>
      <c r="B48" s="48" t="s">
        <v>434</v>
      </c>
      <c r="C48" s="48" t="s">
        <v>435</v>
      </c>
      <c r="D48" s="49">
        <v>1</v>
      </c>
      <c r="E48" s="49">
        <v>27.22</v>
      </c>
      <c r="F48" s="48" t="s">
        <v>620</v>
      </c>
      <c r="G48" s="48" t="s">
        <v>305</v>
      </c>
      <c r="H48" s="48" t="s">
        <v>268</v>
      </c>
      <c r="I48" s="48" t="s">
        <v>437</v>
      </c>
      <c r="J48" s="48" t="s">
        <v>437</v>
      </c>
      <c r="K48" s="48"/>
      <c r="L48" s="48" t="s">
        <v>621</v>
      </c>
      <c r="M48" s="48" t="s">
        <v>75</v>
      </c>
      <c r="N48" s="48" t="s">
        <v>27</v>
      </c>
      <c r="O48" s="48" t="s">
        <v>17</v>
      </c>
      <c r="P48" s="48" t="s">
        <v>441</v>
      </c>
      <c r="Q48" s="49">
        <v>10549</v>
      </c>
      <c r="R48" s="48" t="s">
        <v>530</v>
      </c>
      <c r="S48" s="49">
        <v>32</v>
      </c>
    </row>
    <row r="49" spans="1:19" x14ac:dyDescent="0.2">
      <c r="A49" s="48" t="s">
        <v>622</v>
      </c>
      <c r="B49" s="48" t="s">
        <v>434</v>
      </c>
      <c r="C49" s="48" t="s">
        <v>435</v>
      </c>
      <c r="D49" s="49">
        <v>1</v>
      </c>
      <c r="E49" s="49">
        <v>6.8</v>
      </c>
      <c r="F49" s="48" t="s">
        <v>623</v>
      </c>
      <c r="G49" s="48" t="s">
        <v>306</v>
      </c>
      <c r="H49" s="48" t="s">
        <v>268</v>
      </c>
      <c r="I49" s="48" t="s">
        <v>437</v>
      </c>
      <c r="J49" s="48" t="s">
        <v>437</v>
      </c>
      <c r="K49" s="48"/>
      <c r="L49" s="48" t="s">
        <v>624</v>
      </c>
      <c r="M49" s="48" t="s">
        <v>76</v>
      </c>
      <c r="N49" s="48" t="s">
        <v>49</v>
      </c>
      <c r="O49" s="48" t="s">
        <v>17</v>
      </c>
      <c r="P49" s="48" t="s">
        <v>441</v>
      </c>
      <c r="Q49" s="49">
        <v>10507</v>
      </c>
      <c r="R49" s="48" t="s">
        <v>625</v>
      </c>
      <c r="S49" s="49">
        <v>33</v>
      </c>
    </row>
    <row r="50" spans="1:19" x14ac:dyDescent="0.2">
      <c r="A50" s="48" t="s">
        <v>626</v>
      </c>
      <c r="B50" s="48" t="s">
        <v>434</v>
      </c>
      <c r="C50" s="48" t="s">
        <v>435</v>
      </c>
      <c r="D50" s="49">
        <v>1</v>
      </c>
      <c r="E50" s="49">
        <v>20.41</v>
      </c>
      <c r="F50" s="48" t="s">
        <v>627</v>
      </c>
      <c r="G50" s="48" t="s">
        <v>196</v>
      </c>
      <c r="H50" s="48" t="s">
        <v>270</v>
      </c>
      <c r="I50" s="48" t="s">
        <v>437</v>
      </c>
      <c r="J50" s="48" t="s">
        <v>437</v>
      </c>
      <c r="K50" s="48"/>
      <c r="L50" s="48" t="s">
        <v>628</v>
      </c>
      <c r="M50" s="48" t="s">
        <v>77</v>
      </c>
      <c r="N50" s="48" t="s">
        <v>69</v>
      </c>
      <c r="O50" s="48" t="s">
        <v>17</v>
      </c>
      <c r="P50" s="48" t="s">
        <v>441</v>
      </c>
      <c r="Q50" s="49">
        <v>10080</v>
      </c>
      <c r="R50" s="48" t="s">
        <v>629</v>
      </c>
      <c r="S50" s="49">
        <v>34</v>
      </c>
    </row>
    <row r="51" spans="1:19" x14ac:dyDescent="0.2">
      <c r="A51" s="48" t="s">
        <v>631</v>
      </c>
      <c r="B51" s="48" t="s">
        <v>434</v>
      </c>
      <c r="C51" s="48" t="s">
        <v>435</v>
      </c>
      <c r="D51" s="49">
        <v>1</v>
      </c>
      <c r="E51" s="49">
        <v>22.68</v>
      </c>
      <c r="F51" s="48" t="s">
        <v>632</v>
      </c>
      <c r="G51" s="48" t="s">
        <v>191</v>
      </c>
      <c r="H51" s="48" t="s">
        <v>112</v>
      </c>
      <c r="I51" s="48" t="s">
        <v>437</v>
      </c>
      <c r="J51" s="48" t="s">
        <v>437</v>
      </c>
      <c r="K51" s="48"/>
      <c r="L51" s="48" t="s">
        <v>633</v>
      </c>
      <c r="M51" s="48" t="s">
        <v>80</v>
      </c>
      <c r="N51" s="48" t="s">
        <v>49</v>
      </c>
      <c r="O51" s="48" t="s">
        <v>17</v>
      </c>
      <c r="P51" s="48" t="s">
        <v>441</v>
      </c>
      <c r="Q51" s="49">
        <v>10509</v>
      </c>
      <c r="R51" s="48" t="s">
        <v>634</v>
      </c>
      <c r="S51" s="49">
        <v>35</v>
      </c>
    </row>
    <row r="52" spans="1:19" x14ac:dyDescent="0.2">
      <c r="A52" s="48" t="s">
        <v>635</v>
      </c>
      <c r="B52" s="48" t="s">
        <v>434</v>
      </c>
      <c r="C52" s="48" t="s">
        <v>435</v>
      </c>
      <c r="D52" s="49">
        <v>1</v>
      </c>
      <c r="E52" s="49">
        <v>9.07</v>
      </c>
      <c r="F52" s="48" t="s">
        <v>636</v>
      </c>
      <c r="G52" s="48" t="s">
        <v>308</v>
      </c>
      <c r="H52" s="48" t="s">
        <v>268</v>
      </c>
      <c r="I52" s="48" t="s">
        <v>437</v>
      </c>
      <c r="J52" s="48" t="s">
        <v>437</v>
      </c>
      <c r="K52" s="48"/>
      <c r="L52" s="48" t="s">
        <v>637</v>
      </c>
      <c r="M52" s="48" t="s">
        <v>81</v>
      </c>
      <c r="N52" s="48" t="s">
        <v>27</v>
      </c>
      <c r="O52" s="48" t="s">
        <v>17</v>
      </c>
      <c r="P52" s="48" t="s">
        <v>441</v>
      </c>
      <c r="Q52" s="49">
        <v>10549</v>
      </c>
      <c r="R52" s="48" t="s">
        <v>639</v>
      </c>
      <c r="S52" s="49">
        <v>36</v>
      </c>
    </row>
    <row r="53" spans="1:19" x14ac:dyDescent="0.2">
      <c r="A53" s="48" t="s">
        <v>640</v>
      </c>
      <c r="B53" s="48" t="s">
        <v>434</v>
      </c>
      <c r="C53" s="48" t="s">
        <v>435</v>
      </c>
      <c r="D53" s="49">
        <v>1</v>
      </c>
      <c r="E53" s="49">
        <v>9.07</v>
      </c>
      <c r="F53" s="48" t="s">
        <v>641</v>
      </c>
      <c r="G53" s="48" t="s">
        <v>309</v>
      </c>
      <c r="H53" s="48" t="s">
        <v>268</v>
      </c>
      <c r="I53" s="48" t="s">
        <v>437</v>
      </c>
      <c r="J53" s="48" t="s">
        <v>437</v>
      </c>
      <c r="K53" s="48"/>
      <c r="L53" s="48" t="s">
        <v>642</v>
      </c>
      <c r="M53" s="48" t="s">
        <v>82</v>
      </c>
      <c r="N53" s="48" t="s">
        <v>27</v>
      </c>
      <c r="O53" s="48" t="s">
        <v>17</v>
      </c>
      <c r="P53" s="48" t="s">
        <v>441</v>
      </c>
      <c r="Q53" s="49">
        <v>10549</v>
      </c>
      <c r="R53" s="48" t="s">
        <v>625</v>
      </c>
      <c r="S53" s="49">
        <v>37</v>
      </c>
    </row>
    <row r="54" spans="1:19" x14ac:dyDescent="0.2">
      <c r="A54" s="48" t="s">
        <v>643</v>
      </c>
      <c r="B54" s="48" t="s">
        <v>434</v>
      </c>
      <c r="C54" s="48" t="s">
        <v>435</v>
      </c>
      <c r="D54" s="49">
        <v>1</v>
      </c>
      <c r="E54" s="49">
        <v>18.14</v>
      </c>
      <c r="F54" s="48" t="s">
        <v>644</v>
      </c>
      <c r="G54" s="48" t="s">
        <v>155</v>
      </c>
      <c r="H54" s="48" t="s">
        <v>269</v>
      </c>
      <c r="I54" s="48" t="s">
        <v>437</v>
      </c>
      <c r="J54" s="48" t="s">
        <v>437</v>
      </c>
      <c r="K54" s="48"/>
      <c r="L54" s="48" t="s">
        <v>645</v>
      </c>
      <c r="M54" s="48" t="s">
        <v>85</v>
      </c>
      <c r="N54" s="48" t="s">
        <v>86</v>
      </c>
      <c r="O54" s="48" t="s">
        <v>17</v>
      </c>
      <c r="P54" s="48" t="s">
        <v>441</v>
      </c>
      <c r="Q54" s="49">
        <v>10514</v>
      </c>
      <c r="R54" s="48" t="s">
        <v>646</v>
      </c>
      <c r="S54" s="49">
        <v>38</v>
      </c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4"/>
    </row>
    <row r="74" spans="1:19" x14ac:dyDescent="0.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4"/>
    </row>
  </sheetData>
  <sortState ref="A3:S76">
    <sortCondition ref="S1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7"/>
  <sheetViews>
    <sheetView topLeftCell="A37" zoomScale="96" zoomScaleNormal="96" workbookViewId="0">
      <selection activeCell="A52" sqref="A52:XFD52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0" t="s">
        <v>315</v>
      </c>
      <c r="B1" s="130"/>
      <c r="C1" s="130"/>
      <c r="D1" s="87" t="s">
        <v>428</v>
      </c>
      <c r="E1" s="87"/>
      <c r="F1" s="129"/>
      <c r="G1" s="129"/>
      <c r="H1" s="88"/>
      <c r="I1" s="84"/>
      <c r="J1" s="84"/>
      <c r="K1" s="85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6"/>
      <c r="BA1" s="84"/>
      <c r="BB1" s="84"/>
      <c r="BC1" s="84"/>
      <c r="BD1" s="84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4">
        <v>23</v>
      </c>
      <c r="B3" s="4" t="s">
        <v>435</v>
      </c>
      <c r="C3" s="4" t="s">
        <v>436</v>
      </c>
      <c r="D3" s="4">
        <v>202</v>
      </c>
      <c r="E3" s="4">
        <v>30179155</v>
      </c>
      <c r="F3" s="4" t="s">
        <v>429</v>
      </c>
      <c r="H3" s="4" t="s">
        <v>434</v>
      </c>
      <c r="I3" s="4">
        <v>1</v>
      </c>
      <c r="J3" s="4" t="s">
        <v>438</v>
      </c>
      <c r="K3" s="46">
        <v>20.41</v>
      </c>
      <c r="L3" s="47" t="s">
        <v>448</v>
      </c>
      <c r="M3" s="4" t="s">
        <v>439</v>
      </c>
      <c r="N3" s="4" t="s">
        <v>440</v>
      </c>
      <c r="R3" s="4" t="s">
        <v>430</v>
      </c>
      <c r="S3" s="4" t="s">
        <v>442</v>
      </c>
      <c r="T3" s="4" t="s">
        <v>443</v>
      </c>
      <c r="W3" s="4" t="s">
        <v>437</v>
      </c>
      <c r="Y3" s="4" t="s">
        <v>431</v>
      </c>
      <c r="Z3" s="4" t="s">
        <v>20</v>
      </c>
      <c r="AA3" s="4" t="s">
        <v>21</v>
      </c>
      <c r="AB3" s="4" t="s">
        <v>17</v>
      </c>
      <c r="AC3" s="4">
        <v>10080</v>
      </c>
      <c r="AD3" s="4" t="s">
        <v>444</v>
      </c>
      <c r="AE3" s="4">
        <v>2401006325</v>
      </c>
      <c r="AF3" s="4" t="s">
        <v>445</v>
      </c>
      <c r="AG3" s="4">
        <v>21</v>
      </c>
      <c r="AW3" s="4">
        <v>86</v>
      </c>
      <c r="AY3" s="4" t="s">
        <v>437</v>
      </c>
      <c r="AZ3" s="4">
        <v>10</v>
      </c>
      <c r="BA3" s="4" t="s">
        <v>446</v>
      </c>
      <c r="BC3" s="4" t="s">
        <v>447</v>
      </c>
      <c r="BD3" s="4">
        <v>1</v>
      </c>
    </row>
    <row r="4" spans="1:56" s="4" customFormat="1" x14ac:dyDescent="0.2">
      <c r="A4" s="4">
        <v>23</v>
      </c>
      <c r="B4" s="4" t="s">
        <v>435</v>
      </c>
      <c r="C4" s="4" t="s">
        <v>436</v>
      </c>
      <c r="D4" s="4">
        <v>202</v>
      </c>
      <c r="E4" s="4">
        <v>30179155</v>
      </c>
      <c r="F4" s="4" t="s">
        <v>449</v>
      </c>
      <c r="H4" s="4" t="s">
        <v>434</v>
      </c>
      <c r="I4" s="4">
        <v>1</v>
      </c>
      <c r="J4" s="4" t="s">
        <v>438</v>
      </c>
      <c r="K4" s="46">
        <v>20.41</v>
      </c>
      <c r="L4" s="47" t="s">
        <v>448</v>
      </c>
      <c r="M4" s="4" t="s">
        <v>439</v>
      </c>
      <c r="N4" s="4" t="s">
        <v>440</v>
      </c>
      <c r="R4" s="4" t="s">
        <v>450</v>
      </c>
      <c r="S4" s="4" t="s">
        <v>442</v>
      </c>
      <c r="T4" s="4" t="s">
        <v>443</v>
      </c>
      <c r="W4" s="4" t="s">
        <v>437</v>
      </c>
      <c r="Y4" s="4" t="s">
        <v>451</v>
      </c>
      <c r="Z4" s="4" t="s">
        <v>24</v>
      </c>
      <c r="AA4" s="4" t="s">
        <v>25</v>
      </c>
      <c r="AB4" s="4" t="s">
        <v>17</v>
      </c>
      <c r="AC4" s="4">
        <v>10549</v>
      </c>
      <c r="AD4" s="4" t="s">
        <v>444</v>
      </c>
      <c r="AE4" s="4">
        <v>2404704221</v>
      </c>
      <c r="AF4" s="4" t="s">
        <v>445</v>
      </c>
      <c r="AG4" s="4">
        <v>21</v>
      </c>
      <c r="AW4" s="4">
        <v>86</v>
      </c>
      <c r="AY4" s="4" t="s">
        <v>437</v>
      </c>
      <c r="AZ4" s="4">
        <v>10</v>
      </c>
      <c r="BA4" s="4" t="s">
        <v>446</v>
      </c>
      <c r="BC4" s="4" t="s">
        <v>447</v>
      </c>
      <c r="BD4" s="4">
        <v>1</v>
      </c>
    </row>
    <row r="5" spans="1:56" s="4" customFormat="1" ht="15.75" customHeight="1" x14ac:dyDescent="0.2">
      <c r="A5" s="4">
        <v>23</v>
      </c>
      <c r="B5" s="4" t="s">
        <v>435</v>
      </c>
      <c r="C5" s="4" t="s">
        <v>436</v>
      </c>
      <c r="D5" s="4">
        <v>202</v>
      </c>
      <c r="E5" s="4">
        <v>30179155</v>
      </c>
      <c r="F5" s="4" t="s">
        <v>453</v>
      </c>
      <c r="H5" s="4" t="s">
        <v>434</v>
      </c>
      <c r="I5" s="4">
        <v>1</v>
      </c>
      <c r="J5" s="4" t="s">
        <v>438</v>
      </c>
      <c r="K5" s="46">
        <v>20.41</v>
      </c>
      <c r="L5" s="47" t="s">
        <v>457</v>
      </c>
      <c r="M5" s="4" t="s">
        <v>439</v>
      </c>
      <c r="N5" s="4" t="s">
        <v>440</v>
      </c>
      <c r="R5" s="4" t="s">
        <v>454</v>
      </c>
      <c r="S5" s="4" t="s">
        <v>442</v>
      </c>
      <c r="T5" s="4" t="s">
        <v>443</v>
      </c>
      <c r="W5" s="4" t="s">
        <v>437</v>
      </c>
      <c r="Y5" s="4" t="s">
        <v>455</v>
      </c>
      <c r="Z5" s="4" t="s">
        <v>26</v>
      </c>
      <c r="AA5" s="4" t="s">
        <v>27</v>
      </c>
      <c r="AB5" s="4" t="s">
        <v>17</v>
      </c>
      <c r="AC5" s="4">
        <v>10549</v>
      </c>
      <c r="AD5" s="4" t="s">
        <v>444</v>
      </c>
      <c r="AE5" s="4">
        <v>2405231084</v>
      </c>
      <c r="AF5" s="4" t="s">
        <v>445</v>
      </c>
      <c r="AG5" s="4">
        <v>21</v>
      </c>
      <c r="AW5" s="4">
        <v>86</v>
      </c>
      <c r="AY5" s="4" t="s">
        <v>437</v>
      </c>
      <c r="AZ5" s="4">
        <v>10</v>
      </c>
      <c r="BA5" s="4" t="s">
        <v>446</v>
      </c>
      <c r="BC5" s="4" t="s">
        <v>447</v>
      </c>
      <c r="BD5" s="4">
        <v>2</v>
      </c>
    </row>
    <row r="6" spans="1:56" s="4" customFormat="1" x14ac:dyDescent="0.2">
      <c r="A6" s="4">
        <v>23</v>
      </c>
      <c r="B6" s="4" t="s">
        <v>435</v>
      </c>
      <c r="C6" s="4" t="s">
        <v>436</v>
      </c>
      <c r="D6" s="4">
        <v>202</v>
      </c>
      <c r="E6" s="4">
        <v>30179155</v>
      </c>
      <c r="F6" s="4" t="s">
        <v>458</v>
      </c>
      <c r="H6" s="4" t="s">
        <v>434</v>
      </c>
      <c r="I6" s="4">
        <v>1</v>
      </c>
      <c r="J6" s="4" t="s">
        <v>438</v>
      </c>
      <c r="K6" s="46">
        <v>20.41</v>
      </c>
      <c r="L6" s="47" t="s">
        <v>462</v>
      </c>
      <c r="M6" s="4" t="s">
        <v>439</v>
      </c>
      <c r="N6" s="4" t="s">
        <v>440</v>
      </c>
      <c r="R6" s="4" t="s">
        <v>459</v>
      </c>
      <c r="S6" s="4" t="s">
        <v>442</v>
      </c>
      <c r="T6" s="4" t="s">
        <v>443</v>
      </c>
      <c r="W6" s="4" t="s">
        <v>437</v>
      </c>
      <c r="Y6" s="4" t="s">
        <v>460</v>
      </c>
      <c r="Z6" s="4" t="s">
        <v>28</v>
      </c>
      <c r="AA6" s="4" t="s">
        <v>27</v>
      </c>
      <c r="AB6" s="4" t="s">
        <v>17</v>
      </c>
      <c r="AC6" s="4">
        <v>10549</v>
      </c>
      <c r="AD6" s="4" t="s">
        <v>444</v>
      </c>
      <c r="AE6" s="4">
        <v>2408524410</v>
      </c>
      <c r="AF6" s="4" t="s">
        <v>445</v>
      </c>
      <c r="AG6" s="4">
        <v>21</v>
      </c>
      <c r="AW6" s="4">
        <v>86</v>
      </c>
      <c r="AY6" s="4" t="s">
        <v>437</v>
      </c>
      <c r="AZ6" s="4">
        <v>10</v>
      </c>
      <c r="BA6" s="4" t="s">
        <v>446</v>
      </c>
      <c r="BC6" s="4" t="s">
        <v>447</v>
      </c>
      <c r="BD6" s="4">
        <v>2</v>
      </c>
    </row>
    <row r="7" spans="1:56" s="4" customFormat="1" x14ac:dyDescent="0.2">
      <c r="A7" s="4">
        <v>23</v>
      </c>
      <c r="B7" s="4" t="s">
        <v>435</v>
      </c>
      <c r="C7" s="4" t="s">
        <v>436</v>
      </c>
      <c r="D7" s="4">
        <v>202</v>
      </c>
      <c r="E7" s="4">
        <v>30179155</v>
      </c>
      <c r="F7" s="4" t="s">
        <v>463</v>
      </c>
      <c r="H7" s="4" t="s">
        <v>434</v>
      </c>
      <c r="I7" s="4">
        <v>1</v>
      </c>
      <c r="J7" s="4" t="s">
        <v>438</v>
      </c>
      <c r="K7" s="46">
        <v>20.41</v>
      </c>
      <c r="L7" s="47" t="s">
        <v>448</v>
      </c>
      <c r="M7" s="4" t="s">
        <v>439</v>
      </c>
      <c r="N7" s="4" t="s">
        <v>440</v>
      </c>
      <c r="R7" s="4" t="s">
        <v>464</v>
      </c>
      <c r="S7" s="4" t="s">
        <v>442</v>
      </c>
      <c r="T7" s="4" t="s">
        <v>443</v>
      </c>
      <c r="W7" s="4" t="s">
        <v>437</v>
      </c>
      <c r="Y7" s="4" t="s">
        <v>465</v>
      </c>
      <c r="Z7" s="4" t="s">
        <v>29</v>
      </c>
      <c r="AA7" s="4" t="s">
        <v>27</v>
      </c>
      <c r="AB7" s="4" t="s">
        <v>17</v>
      </c>
      <c r="AC7" s="4">
        <v>10549</v>
      </c>
      <c r="AD7" s="4" t="s">
        <v>444</v>
      </c>
      <c r="AE7" s="4">
        <v>2409946225</v>
      </c>
      <c r="AF7" s="4" t="s">
        <v>445</v>
      </c>
      <c r="AG7" s="4">
        <v>21</v>
      </c>
      <c r="AW7" s="4">
        <v>86</v>
      </c>
      <c r="AY7" s="4" t="s">
        <v>437</v>
      </c>
      <c r="AZ7" s="4">
        <v>10</v>
      </c>
      <c r="BA7" s="4" t="s">
        <v>446</v>
      </c>
      <c r="BC7" s="4" t="s">
        <v>447</v>
      </c>
      <c r="BD7" s="4">
        <v>3</v>
      </c>
    </row>
    <row r="8" spans="1:56" s="4" customFormat="1" ht="15.75" customHeight="1" x14ac:dyDescent="0.2">
      <c r="A8" s="4">
        <v>23</v>
      </c>
      <c r="B8" s="4" t="s">
        <v>435</v>
      </c>
      <c r="C8" s="4" t="s">
        <v>436</v>
      </c>
      <c r="D8" s="4">
        <v>202</v>
      </c>
      <c r="E8" s="4">
        <v>30179155</v>
      </c>
      <c r="F8" s="4" t="s">
        <v>467</v>
      </c>
      <c r="H8" s="4" t="s">
        <v>434</v>
      </c>
      <c r="I8" s="4">
        <v>1</v>
      </c>
      <c r="J8" s="4" t="s">
        <v>438</v>
      </c>
      <c r="K8" s="46">
        <v>20.41</v>
      </c>
      <c r="L8" s="47" t="s">
        <v>471</v>
      </c>
      <c r="M8" s="4" t="s">
        <v>439</v>
      </c>
      <c r="N8" s="4" t="s">
        <v>440</v>
      </c>
      <c r="R8" s="4" t="s">
        <v>468</v>
      </c>
      <c r="S8" s="4" t="s">
        <v>442</v>
      </c>
      <c r="T8" s="4" t="s">
        <v>443</v>
      </c>
      <c r="W8" s="4" t="s">
        <v>437</v>
      </c>
      <c r="Y8" s="4" t="s">
        <v>469</v>
      </c>
      <c r="Z8" s="4" t="s">
        <v>30</v>
      </c>
      <c r="AA8" s="4" t="s">
        <v>27</v>
      </c>
      <c r="AB8" s="4" t="s">
        <v>17</v>
      </c>
      <c r="AC8" s="4">
        <v>10549</v>
      </c>
      <c r="AD8" s="4" t="s">
        <v>444</v>
      </c>
      <c r="AE8" s="4">
        <v>2405339125</v>
      </c>
      <c r="AF8" s="4" t="s">
        <v>445</v>
      </c>
      <c r="AG8" s="4">
        <v>21</v>
      </c>
      <c r="AW8" s="4">
        <v>86</v>
      </c>
      <c r="AY8" s="4" t="s">
        <v>437</v>
      </c>
      <c r="AZ8" s="4">
        <v>10</v>
      </c>
      <c r="BA8" s="4" t="s">
        <v>446</v>
      </c>
      <c r="BC8" s="4" t="s">
        <v>447</v>
      </c>
      <c r="BD8" s="4">
        <v>3</v>
      </c>
    </row>
    <row r="9" spans="1:56" s="4" customFormat="1" ht="15" customHeight="1" x14ac:dyDescent="0.2">
      <c r="A9" s="4">
        <v>23</v>
      </c>
      <c r="B9" s="4" t="s">
        <v>435</v>
      </c>
      <c r="C9" s="4" t="s">
        <v>436</v>
      </c>
      <c r="D9" s="4">
        <v>202</v>
      </c>
      <c r="E9" s="4">
        <v>30179155</v>
      </c>
      <c r="F9" s="4" t="s">
        <v>472</v>
      </c>
      <c r="H9" s="4" t="s">
        <v>434</v>
      </c>
      <c r="I9" s="4">
        <v>1</v>
      </c>
      <c r="J9" s="4" t="s">
        <v>438</v>
      </c>
      <c r="K9" s="46">
        <v>20.41</v>
      </c>
      <c r="L9" s="47" t="s">
        <v>476</v>
      </c>
      <c r="M9" s="4" t="s">
        <v>439</v>
      </c>
      <c r="N9" s="4" t="s">
        <v>440</v>
      </c>
      <c r="R9" s="4" t="s">
        <v>473</v>
      </c>
      <c r="S9" s="4" t="s">
        <v>442</v>
      </c>
      <c r="T9" s="4" t="s">
        <v>443</v>
      </c>
      <c r="W9" s="4" t="s">
        <v>437</v>
      </c>
      <c r="Y9" s="4" t="s">
        <v>474</v>
      </c>
      <c r="Z9" s="4" t="s">
        <v>31</v>
      </c>
      <c r="AA9" s="4" t="s">
        <v>27</v>
      </c>
      <c r="AB9" s="4" t="s">
        <v>17</v>
      </c>
      <c r="AC9" s="4">
        <v>10549</v>
      </c>
      <c r="AD9" s="4" t="s">
        <v>444</v>
      </c>
      <c r="AE9" s="4">
        <v>2406331025</v>
      </c>
      <c r="AF9" s="4" t="s">
        <v>445</v>
      </c>
      <c r="AG9" s="4">
        <v>21</v>
      </c>
      <c r="AW9" s="4">
        <v>86</v>
      </c>
      <c r="AY9" s="4" t="s">
        <v>437</v>
      </c>
      <c r="AZ9" s="4">
        <v>10</v>
      </c>
      <c r="BA9" s="4" t="s">
        <v>446</v>
      </c>
      <c r="BC9" s="4" t="s">
        <v>447</v>
      </c>
      <c r="BD9" s="4">
        <v>4</v>
      </c>
    </row>
    <row r="10" spans="1:56" s="4" customFormat="1" ht="15.75" customHeight="1" x14ac:dyDescent="0.2">
      <c r="A10" s="4">
        <v>23</v>
      </c>
      <c r="B10" s="4" t="s">
        <v>435</v>
      </c>
      <c r="C10" s="4" t="s">
        <v>436</v>
      </c>
      <c r="D10" s="4">
        <v>202</v>
      </c>
      <c r="E10" s="4">
        <v>30179155</v>
      </c>
      <c r="F10" s="4" t="s">
        <v>477</v>
      </c>
      <c r="H10" s="4" t="s">
        <v>434</v>
      </c>
      <c r="I10" s="4">
        <v>1</v>
      </c>
      <c r="J10" s="4" t="s">
        <v>438</v>
      </c>
      <c r="K10" s="46">
        <v>20.41</v>
      </c>
      <c r="L10" s="47" t="s">
        <v>481</v>
      </c>
      <c r="M10" s="4" t="s">
        <v>439</v>
      </c>
      <c r="N10" s="4" t="s">
        <v>440</v>
      </c>
      <c r="R10" s="4" t="s">
        <v>478</v>
      </c>
      <c r="S10" s="4" t="s">
        <v>442</v>
      </c>
      <c r="T10" s="4" t="s">
        <v>443</v>
      </c>
      <c r="W10" s="4" t="s">
        <v>437</v>
      </c>
      <c r="Y10" s="4" t="s">
        <v>479</v>
      </c>
      <c r="Z10" s="4" t="s">
        <v>32</v>
      </c>
      <c r="AA10" s="4" t="s">
        <v>27</v>
      </c>
      <c r="AB10" s="4" t="s">
        <v>17</v>
      </c>
      <c r="AC10" s="4">
        <v>10549</v>
      </c>
      <c r="AD10" s="4" t="s">
        <v>444</v>
      </c>
      <c r="AE10" s="4">
        <v>2405331024</v>
      </c>
      <c r="AF10" s="4" t="s">
        <v>445</v>
      </c>
      <c r="AG10" s="4">
        <v>21</v>
      </c>
      <c r="AW10" s="4">
        <v>86</v>
      </c>
      <c r="AY10" s="4" t="s">
        <v>437</v>
      </c>
      <c r="AZ10" s="4">
        <v>10</v>
      </c>
      <c r="BA10" s="4" t="s">
        <v>446</v>
      </c>
      <c r="BC10" s="4" t="s">
        <v>447</v>
      </c>
      <c r="BD10" s="4">
        <v>4</v>
      </c>
    </row>
    <row r="11" spans="1:56" s="4" customFormat="1" ht="15.75" customHeight="1" x14ac:dyDescent="0.2">
      <c r="A11" s="4">
        <v>23</v>
      </c>
      <c r="B11" s="4" t="s">
        <v>435</v>
      </c>
      <c r="C11" s="4" t="s">
        <v>436</v>
      </c>
      <c r="D11" s="4">
        <v>202</v>
      </c>
      <c r="E11" s="4">
        <v>30179155</v>
      </c>
      <c r="F11" s="4" t="s">
        <v>482</v>
      </c>
      <c r="H11" s="4" t="s">
        <v>434</v>
      </c>
      <c r="I11" s="4">
        <v>1</v>
      </c>
      <c r="J11" s="4" t="s">
        <v>438</v>
      </c>
      <c r="K11" s="46">
        <v>20.41</v>
      </c>
      <c r="L11" s="47" t="s">
        <v>486</v>
      </c>
      <c r="M11" s="4" t="s">
        <v>439</v>
      </c>
      <c r="N11" s="4" t="s">
        <v>440</v>
      </c>
      <c r="R11" s="4" t="s">
        <v>483</v>
      </c>
      <c r="S11" s="4" t="s">
        <v>442</v>
      </c>
      <c r="T11" s="4" t="s">
        <v>443</v>
      </c>
      <c r="W11" s="4" t="s">
        <v>437</v>
      </c>
      <c r="Y11" s="4" t="s">
        <v>484</v>
      </c>
      <c r="Z11" s="4" t="s">
        <v>34</v>
      </c>
      <c r="AA11" s="4" t="s">
        <v>25</v>
      </c>
      <c r="AB11" s="4" t="s">
        <v>17</v>
      </c>
      <c r="AC11" s="4">
        <v>10509</v>
      </c>
      <c r="AD11" s="4" t="s">
        <v>444</v>
      </c>
      <c r="AE11" s="4">
        <v>2406224115</v>
      </c>
      <c r="AF11" s="4" t="s">
        <v>445</v>
      </c>
      <c r="AG11" s="4">
        <v>21</v>
      </c>
      <c r="AW11" s="4">
        <v>86</v>
      </c>
      <c r="AY11" s="4" t="s">
        <v>437</v>
      </c>
      <c r="AZ11" s="4">
        <v>10</v>
      </c>
      <c r="BA11" s="4" t="s">
        <v>446</v>
      </c>
      <c r="BC11" s="4" t="s">
        <v>447</v>
      </c>
      <c r="BD11" s="4">
        <v>5</v>
      </c>
    </row>
    <row r="12" spans="1:56" s="4" customFormat="1" ht="16.5" customHeight="1" x14ac:dyDescent="0.2">
      <c r="A12" s="4">
        <v>23</v>
      </c>
      <c r="B12" s="4" t="s">
        <v>435</v>
      </c>
      <c r="C12" s="4" t="s">
        <v>436</v>
      </c>
      <c r="D12" s="4">
        <v>202</v>
      </c>
      <c r="E12" s="4">
        <v>30179155</v>
      </c>
      <c r="F12" s="4" t="s">
        <v>487</v>
      </c>
      <c r="H12" s="4" t="s">
        <v>434</v>
      </c>
      <c r="I12" s="4">
        <v>1</v>
      </c>
      <c r="J12" s="4" t="s">
        <v>438</v>
      </c>
      <c r="K12" s="46">
        <v>20.41</v>
      </c>
      <c r="L12" s="47" t="s">
        <v>491</v>
      </c>
      <c r="M12" s="4" t="s">
        <v>439</v>
      </c>
      <c r="N12" s="4" t="s">
        <v>440</v>
      </c>
      <c r="R12" s="4" t="s">
        <v>488</v>
      </c>
      <c r="S12" s="4" t="s">
        <v>442</v>
      </c>
      <c r="T12" s="4" t="s">
        <v>443</v>
      </c>
      <c r="W12" s="4" t="s">
        <v>437</v>
      </c>
      <c r="Y12" s="4" t="s">
        <v>489</v>
      </c>
      <c r="Z12" s="4" t="s">
        <v>35</v>
      </c>
      <c r="AA12" s="4" t="s">
        <v>36</v>
      </c>
      <c r="AB12" s="4" t="s">
        <v>17</v>
      </c>
      <c r="AC12" s="4">
        <v>10576</v>
      </c>
      <c r="AD12" s="4" t="s">
        <v>444</v>
      </c>
      <c r="AE12" s="4">
        <v>2409104552</v>
      </c>
      <c r="AF12" s="4" t="s">
        <v>445</v>
      </c>
      <c r="AG12" s="4">
        <v>21</v>
      </c>
      <c r="AW12" s="4">
        <v>86</v>
      </c>
      <c r="AY12" s="4" t="s">
        <v>437</v>
      </c>
      <c r="AZ12" s="4">
        <v>10</v>
      </c>
      <c r="BA12" s="4" t="s">
        <v>446</v>
      </c>
      <c r="BC12" s="4" t="s">
        <v>447</v>
      </c>
      <c r="BD12" s="4">
        <v>5</v>
      </c>
    </row>
    <row r="13" spans="1:56" s="4" customFormat="1" x14ac:dyDescent="0.2">
      <c r="A13" s="4">
        <v>23</v>
      </c>
      <c r="B13" s="4" t="s">
        <v>435</v>
      </c>
      <c r="C13" s="4" t="s">
        <v>436</v>
      </c>
      <c r="D13" s="4">
        <v>202</v>
      </c>
      <c r="E13" s="4">
        <v>30179155</v>
      </c>
      <c r="F13" s="4" t="s">
        <v>492</v>
      </c>
      <c r="H13" s="4" t="s">
        <v>434</v>
      </c>
      <c r="I13" s="4">
        <v>1</v>
      </c>
      <c r="J13" s="4" t="s">
        <v>438</v>
      </c>
      <c r="K13" s="46">
        <v>22.68</v>
      </c>
      <c r="L13" s="47" t="s">
        <v>495</v>
      </c>
      <c r="M13" s="4" t="s">
        <v>439</v>
      </c>
      <c r="N13" s="4" t="s">
        <v>440</v>
      </c>
      <c r="R13" s="4" t="s">
        <v>493</v>
      </c>
      <c r="S13" s="4" t="s">
        <v>442</v>
      </c>
      <c r="T13" s="4" t="s">
        <v>443</v>
      </c>
      <c r="W13" s="4" t="s">
        <v>437</v>
      </c>
      <c r="Y13" s="4" t="s">
        <v>494</v>
      </c>
      <c r="Z13" s="4" t="s">
        <v>37</v>
      </c>
      <c r="AA13" s="4" t="s">
        <v>38</v>
      </c>
      <c r="AB13" s="4" t="s">
        <v>17</v>
      </c>
      <c r="AC13" s="4">
        <v>10549</v>
      </c>
      <c r="AD13" s="4" t="s">
        <v>444</v>
      </c>
      <c r="AE13" s="4">
        <v>2409024115</v>
      </c>
      <c r="AF13" s="4" t="s">
        <v>445</v>
      </c>
      <c r="AG13" s="4">
        <v>21</v>
      </c>
      <c r="AW13" s="4">
        <v>86</v>
      </c>
      <c r="AY13" s="4" t="s">
        <v>437</v>
      </c>
      <c r="AZ13" s="4">
        <v>11</v>
      </c>
      <c r="BA13" s="4" t="s">
        <v>446</v>
      </c>
      <c r="BC13" s="4" t="s">
        <v>447</v>
      </c>
      <c r="BD13" s="4">
        <v>6</v>
      </c>
    </row>
    <row r="14" spans="1:56" s="4" customFormat="1" ht="30" x14ac:dyDescent="0.2">
      <c r="A14" s="4">
        <v>23</v>
      </c>
      <c r="B14" s="4" t="s">
        <v>435</v>
      </c>
      <c r="C14" s="4" t="s">
        <v>436</v>
      </c>
      <c r="D14" s="4">
        <v>202</v>
      </c>
      <c r="E14" s="4">
        <v>30179155</v>
      </c>
      <c r="F14" s="4" t="s">
        <v>496</v>
      </c>
      <c r="H14" s="4" t="s">
        <v>434</v>
      </c>
      <c r="I14" s="4">
        <v>1</v>
      </c>
      <c r="J14" s="4" t="s">
        <v>438</v>
      </c>
      <c r="K14" s="46">
        <v>20.41</v>
      </c>
      <c r="L14" s="47" t="s">
        <v>499</v>
      </c>
      <c r="M14" s="4" t="s">
        <v>439</v>
      </c>
      <c r="N14" s="4" t="s">
        <v>440</v>
      </c>
      <c r="R14" s="4" t="s">
        <v>497</v>
      </c>
      <c r="S14" s="4" t="s">
        <v>442</v>
      </c>
      <c r="T14" s="4" t="s">
        <v>443</v>
      </c>
      <c r="W14" s="4" t="s">
        <v>437</v>
      </c>
      <c r="Y14" s="4" t="s">
        <v>498</v>
      </c>
      <c r="Z14" s="4" t="s">
        <v>39</v>
      </c>
      <c r="AA14" s="4" t="s">
        <v>38</v>
      </c>
      <c r="AB14" s="4" t="s">
        <v>17</v>
      </c>
      <c r="AC14" s="4">
        <v>10549</v>
      </c>
      <c r="AD14" s="4" t="s">
        <v>444</v>
      </c>
      <c r="AE14" s="4">
        <v>2403025541</v>
      </c>
      <c r="AF14" s="4" t="s">
        <v>445</v>
      </c>
      <c r="AG14" s="4">
        <v>21</v>
      </c>
      <c r="AW14" s="4">
        <v>86</v>
      </c>
      <c r="AY14" s="4" t="s">
        <v>437</v>
      </c>
      <c r="AZ14" s="4">
        <v>10</v>
      </c>
      <c r="BA14" s="4" t="s">
        <v>446</v>
      </c>
      <c r="BC14" s="4" t="s">
        <v>447</v>
      </c>
      <c r="BD14" s="4">
        <v>6</v>
      </c>
    </row>
    <row r="15" spans="1:56" s="4" customFormat="1" ht="14.25" customHeight="1" x14ac:dyDescent="0.2">
      <c r="A15" s="4">
        <v>23</v>
      </c>
      <c r="B15" s="4" t="s">
        <v>435</v>
      </c>
      <c r="C15" s="4" t="s">
        <v>436</v>
      </c>
      <c r="D15" s="4">
        <v>202</v>
      </c>
      <c r="E15" s="4">
        <v>30179155</v>
      </c>
      <c r="F15" s="4" t="s">
        <v>500</v>
      </c>
      <c r="H15" s="4" t="s">
        <v>434</v>
      </c>
      <c r="I15" s="4">
        <v>1</v>
      </c>
      <c r="J15" s="4" t="s">
        <v>438</v>
      </c>
      <c r="K15" s="46">
        <v>20.41</v>
      </c>
      <c r="L15" s="47" t="s">
        <v>503</v>
      </c>
      <c r="M15" s="4" t="s">
        <v>439</v>
      </c>
      <c r="N15" s="4" t="s">
        <v>440</v>
      </c>
      <c r="R15" s="4" t="s">
        <v>501</v>
      </c>
      <c r="S15" s="4" t="s">
        <v>442</v>
      </c>
      <c r="T15" s="4" t="s">
        <v>443</v>
      </c>
      <c r="W15" s="4" t="s">
        <v>437</v>
      </c>
      <c r="Y15" s="4" t="s">
        <v>502</v>
      </c>
      <c r="Z15" s="4" t="s">
        <v>40</v>
      </c>
      <c r="AA15" s="4" t="s">
        <v>38</v>
      </c>
      <c r="AB15" s="4" t="s">
        <v>17</v>
      </c>
      <c r="AC15" s="4">
        <v>10549</v>
      </c>
      <c r="AD15" s="4" t="s">
        <v>444</v>
      </c>
      <c r="AE15" s="4">
        <v>2409541125</v>
      </c>
      <c r="AF15" s="4" t="s">
        <v>445</v>
      </c>
      <c r="AG15" s="4">
        <v>21</v>
      </c>
      <c r="AW15" s="4">
        <v>86</v>
      </c>
      <c r="AY15" s="4" t="s">
        <v>437</v>
      </c>
      <c r="AZ15" s="4">
        <v>10</v>
      </c>
      <c r="BA15" s="4" t="s">
        <v>446</v>
      </c>
      <c r="BC15" s="4" t="s">
        <v>447</v>
      </c>
      <c r="BD15" s="4">
        <v>7</v>
      </c>
    </row>
    <row r="16" spans="1:56" s="4" customFormat="1" ht="13.5" customHeight="1" x14ac:dyDescent="0.2">
      <c r="A16" s="4">
        <v>23</v>
      </c>
      <c r="B16" s="4" t="s">
        <v>435</v>
      </c>
      <c r="C16" s="4" t="s">
        <v>436</v>
      </c>
      <c r="D16" s="4">
        <v>202</v>
      </c>
      <c r="E16" s="4">
        <v>30179155</v>
      </c>
      <c r="F16" s="4" t="s">
        <v>504</v>
      </c>
      <c r="H16" s="4" t="s">
        <v>434</v>
      </c>
      <c r="I16" s="4">
        <v>1</v>
      </c>
      <c r="J16" s="4" t="s">
        <v>438</v>
      </c>
      <c r="K16" s="46">
        <v>13.61</v>
      </c>
      <c r="L16" s="47" t="s">
        <v>508</v>
      </c>
      <c r="M16" s="4" t="s">
        <v>439</v>
      </c>
      <c r="N16" s="4" t="s">
        <v>440</v>
      </c>
      <c r="R16" s="4" t="s">
        <v>505</v>
      </c>
      <c r="S16" s="4" t="s">
        <v>442</v>
      </c>
      <c r="T16" s="4" t="s">
        <v>443</v>
      </c>
      <c r="W16" s="4" t="s">
        <v>437</v>
      </c>
      <c r="Y16" s="4" t="s">
        <v>506</v>
      </c>
      <c r="Z16" s="4" t="s">
        <v>41</v>
      </c>
      <c r="AA16" s="4" t="s">
        <v>27</v>
      </c>
      <c r="AB16" s="4" t="s">
        <v>17</v>
      </c>
      <c r="AC16" s="4">
        <v>10549</v>
      </c>
      <c r="AD16" s="4" t="s">
        <v>444</v>
      </c>
      <c r="AE16" s="4">
        <v>3012254155</v>
      </c>
      <c r="AF16" s="4" t="s">
        <v>445</v>
      </c>
      <c r="AG16" s="4">
        <v>21</v>
      </c>
      <c r="AW16" s="4">
        <v>86</v>
      </c>
      <c r="AY16" s="4" t="s">
        <v>437</v>
      </c>
      <c r="AZ16" s="4">
        <v>9</v>
      </c>
      <c r="BA16" s="4" t="s">
        <v>446</v>
      </c>
      <c r="BC16" s="4" t="s">
        <v>447</v>
      </c>
      <c r="BD16" s="4">
        <v>7</v>
      </c>
    </row>
    <row r="17" spans="1:56" s="4" customFormat="1" x14ac:dyDescent="0.2">
      <c r="A17" s="4">
        <v>23</v>
      </c>
      <c r="B17" s="4" t="s">
        <v>435</v>
      </c>
      <c r="C17" s="4" t="s">
        <v>436</v>
      </c>
      <c r="D17" s="4">
        <v>202</v>
      </c>
      <c r="E17" s="4">
        <v>30179155</v>
      </c>
      <c r="F17" s="4" t="s">
        <v>509</v>
      </c>
      <c r="H17" s="4" t="s">
        <v>434</v>
      </c>
      <c r="I17" s="4">
        <v>1</v>
      </c>
      <c r="J17" s="4" t="s">
        <v>438</v>
      </c>
      <c r="K17" s="46">
        <v>27.22</v>
      </c>
      <c r="L17" s="47" t="s">
        <v>448</v>
      </c>
      <c r="M17" s="4" t="s">
        <v>439</v>
      </c>
      <c r="N17" s="4" t="s">
        <v>440</v>
      </c>
      <c r="R17" s="4" t="s">
        <v>510</v>
      </c>
      <c r="S17" s="4" t="s">
        <v>442</v>
      </c>
      <c r="T17" s="4" t="s">
        <v>443</v>
      </c>
      <c r="W17" s="4" t="s">
        <v>437</v>
      </c>
      <c r="Y17" s="4" t="s">
        <v>511</v>
      </c>
      <c r="Z17" s="4" t="s">
        <v>42</v>
      </c>
      <c r="AA17" s="4" t="s">
        <v>27</v>
      </c>
      <c r="AB17" s="4" t="s">
        <v>17</v>
      </c>
      <c r="AC17" s="4">
        <v>10549</v>
      </c>
      <c r="AD17" s="4" t="s">
        <v>444</v>
      </c>
      <c r="AE17" s="4">
        <v>2405563012</v>
      </c>
      <c r="AF17" s="4" t="s">
        <v>445</v>
      </c>
      <c r="AG17" s="4">
        <v>21</v>
      </c>
      <c r="AW17" s="4">
        <v>86</v>
      </c>
      <c r="AY17" s="4" t="s">
        <v>437</v>
      </c>
      <c r="AZ17" s="4">
        <v>12</v>
      </c>
      <c r="BA17" s="4" t="s">
        <v>446</v>
      </c>
      <c r="BC17" s="4" t="s">
        <v>447</v>
      </c>
      <c r="BD17" s="4">
        <v>8</v>
      </c>
    </row>
    <row r="18" spans="1:56" s="4" customFormat="1" x14ac:dyDescent="0.2">
      <c r="A18" s="4">
        <v>23</v>
      </c>
      <c r="B18" s="4" t="s">
        <v>435</v>
      </c>
      <c r="C18" s="4" t="s">
        <v>436</v>
      </c>
      <c r="D18" s="4">
        <v>202</v>
      </c>
      <c r="E18" s="4">
        <v>30179155</v>
      </c>
      <c r="F18" s="4" t="s">
        <v>512</v>
      </c>
      <c r="H18" s="4" t="s">
        <v>434</v>
      </c>
      <c r="I18" s="4">
        <v>1</v>
      </c>
      <c r="J18" s="4" t="s">
        <v>438</v>
      </c>
      <c r="K18" s="46">
        <v>24.95</v>
      </c>
      <c r="L18" s="47" t="s">
        <v>448</v>
      </c>
      <c r="M18" s="4" t="s">
        <v>439</v>
      </c>
      <c r="N18" s="4" t="s">
        <v>440</v>
      </c>
      <c r="R18" s="4" t="s">
        <v>513</v>
      </c>
      <c r="S18" s="4" t="s">
        <v>442</v>
      </c>
      <c r="T18" s="4" t="s">
        <v>443</v>
      </c>
      <c r="W18" s="4" t="s">
        <v>437</v>
      </c>
      <c r="Y18" s="4" t="s">
        <v>514</v>
      </c>
      <c r="Z18" s="4" t="s">
        <v>43</v>
      </c>
      <c r="AA18" s="4" t="s">
        <v>27</v>
      </c>
      <c r="AB18" s="4" t="s">
        <v>17</v>
      </c>
      <c r="AC18" s="4">
        <v>10509</v>
      </c>
      <c r="AD18" s="4" t="s">
        <v>444</v>
      </c>
      <c r="AE18" s="4">
        <v>2406452012</v>
      </c>
      <c r="AF18" s="4" t="s">
        <v>445</v>
      </c>
      <c r="AG18" s="4">
        <v>21</v>
      </c>
      <c r="AW18" s="4">
        <v>86</v>
      </c>
      <c r="AY18" s="4" t="s">
        <v>437</v>
      </c>
      <c r="AZ18" s="4">
        <v>11</v>
      </c>
      <c r="BA18" s="4" t="s">
        <v>446</v>
      </c>
      <c r="BC18" s="4" t="s">
        <v>447</v>
      </c>
      <c r="BD18" s="4">
        <v>9</v>
      </c>
    </row>
    <row r="19" spans="1:56" s="4" customFormat="1" x14ac:dyDescent="0.2">
      <c r="A19" s="4">
        <v>23</v>
      </c>
      <c r="B19" s="4" t="s">
        <v>435</v>
      </c>
      <c r="C19" s="4" t="s">
        <v>436</v>
      </c>
      <c r="D19" s="4">
        <v>202</v>
      </c>
      <c r="E19" s="4">
        <v>30179155</v>
      </c>
      <c r="F19" s="4" t="s">
        <v>515</v>
      </c>
      <c r="H19" s="4" t="s">
        <v>434</v>
      </c>
      <c r="I19" s="4">
        <v>1</v>
      </c>
      <c r="J19" s="4" t="s">
        <v>438</v>
      </c>
      <c r="K19" s="46">
        <v>29.48</v>
      </c>
      <c r="L19" s="47" t="s">
        <v>448</v>
      </c>
      <c r="M19" s="4" t="s">
        <v>439</v>
      </c>
      <c r="N19" s="4" t="s">
        <v>440</v>
      </c>
      <c r="R19" s="4" t="s">
        <v>516</v>
      </c>
      <c r="S19" s="4" t="s">
        <v>442</v>
      </c>
      <c r="T19" s="4" t="s">
        <v>443</v>
      </c>
      <c r="W19" s="4" t="s">
        <v>437</v>
      </c>
      <c r="Y19" s="4" t="s">
        <v>517</v>
      </c>
      <c r="Z19" s="4" t="s">
        <v>44</v>
      </c>
      <c r="AA19" s="4" t="s">
        <v>27</v>
      </c>
      <c r="AB19" s="4" t="s">
        <v>17</v>
      </c>
      <c r="AC19" s="4">
        <v>10509</v>
      </c>
      <c r="AD19" s="4" t="s">
        <v>444</v>
      </c>
      <c r="AE19" s="4">
        <v>2408114025</v>
      </c>
      <c r="AF19" s="4" t="s">
        <v>445</v>
      </c>
      <c r="AG19" s="4">
        <v>21</v>
      </c>
      <c r="AW19" s="4">
        <v>86</v>
      </c>
      <c r="AY19" s="4" t="s">
        <v>437</v>
      </c>
      <c r="AZ19" s="4">
        <v>12</v>
      </c>
      <c r="BA19" s="4" t="s">
        <v>446</v>
      </c>
      <c r="BC19" s="4" t="s">
        <v>447</v>
      </c>
      <c r="BD19" s="4">
        <v>10</v>
      </c>
    </row>
    <row r="20" spans="1:56" s="4" customFormat="1" x14ac:dyDescent="0.2">
      <c r="A20" s="4">
        <v>23</v>
      </c>
      <c r="B20" s="4" t="s">
        <v>435</v>
      </c>
      <c r="C20" s="4" t="s">
        <v>436</v>
      </c>
      <c r="D20" s="4">
        <v>202</v>
      </c>
      <c r="E20" s="4">
        <v>30179155</v>
      </c>
      <c r="F20" s="4" t="s">
        <v>518</v>
      </c>
      <c r="H20" s="4" t="s">
        <v>434</v>
      </c>
      <c r="I20" s="4">
        <v>1</v>
      </c>
      <c r="J20" s="4" t="s">
        <v>438</v>
      </c>
      <c r="K20" s="46">
        <v>13.61</v>
      </c>
      <c r="L20" s="47" t="s">
        <v>522</v>
      </c>
      <c r="M20" s="4" t="s">
        <v>439</v>
      </c>
      <c r="N20" s="4" t="s">
        <v>440</v>
      </c>
      <c r="R20" s="4" t="s">
        <v>519</v>
      </c>
      <c r="S20" s="4" t="s">
        <v>442</v>
      </c>
      <c r="T20" s="4" t="s">
        <v>443</v>
      </c>
      <c r="W20" s="4" t="s">
        <v>437</v>
      </c>
      <c r="Y20" s="4" t="s">
        <v>520</v>
      </c>
      <c r="Z20" s="4" t="s">
        <v>45</v>
      </c>
      <c r="AA20" s="4" t="s">
        <v>27</v>
      </c>
      <c r="AB20" s="4" t="s">
        <v>17</v>
      </c>
      <c r="AC20" s="4">
        <v>10549</v>
      </c>
      <c r="AD20" s="4" t="s">
        <v>444</v>
      </c>
      <c r="AE20" s="4">
        <v>2403952205</v>
      </c>
      <c r="AF20" s="4" t="s">
        <v>445</v>
      </c>
      <c r="AG20" s="4">
        <v>21</v>
      </c>
      <c r="AW20" s="4">
        <v>86</v>
      </c>
      <c r="AY20" s="4" t="s">
        <v>437</v>
      </c>
      <c r="AZ20" s="4">
        <v>9</v>
      </c>
      <c r="BA20" s="4" t="s">
        <v>446</v>
      </c>
      <c r="BC20" s="4" t="s">
        <v>447</v>
      </c>
      <c r="BD20" s="4">
        <v>9</v>
      </c>
    </row>
    <row r="21" spans="1:56" s="4" customFormat="1" ht="15.75" customHeight="1" x14ac:dyDescent="0.2">
      <c r="A21" s="4">
        <v>23</v>
      </c>
      <c r="B21" s="4" t="s">
        <v>435</v>
      </c>
      <c r="C21" s="4" t="s">
        <v>436</v>
      </c>
      <c r="D21" s="4">
        <v>202</v>
      </c>
      <c r="E21" s="4">
        <v>30179155</v>
      </c>
      <c r="F21" s="4" t="s">
        <v>523</v>
      </c>
      <c r="H21" s="4" t="s">
        <v>434</v>
      </c>
      <c r="I21" s="4">
        <v>1</v>
      </c>
      <c r="J21" s="4" t="s">
        <v>438</v>
      </c>
      <c r="K21" s="46">
        <v>18.14</v>
      </c>
      <c r="L21" s="47" t="s">
        <v>448</v>
      </c>
      <c r="M21" s="4" t="s">
        <v>439</v>
      </c>
      <c r="N21" s="4" t="s">
        <v>440</v>
      </c>
      <c r="R21" s="4" t="s">
        <v>524</v>
      </c>
      <c r="S21" s="4" t="s">
        <v>526</v>
      </c>
      <c r="T21" s="4" t="s">
        <v>443</v>
      </c>
      <c r="W21" s="4" t="s">
        <v>437</v>
      </c>
      <c r="Y21" s="4" t="s">
        <v>525</v>
      </c>
      <c r="Z21" s="4" t="s">
        <v>46</v>
      </c>
      <c r="AA21" s="4" t="s">
        <v>27</v>
      </c>
      <c r="AB21" s="4" t="s">
        <v>17</v>
      </c>
      <c r="AC21" s="4">
        <v>10549</v>
      </c>
      <c r="AD21" s="4" t="s">
        <v>444</v>
      </c>
      <c r="AE21" s="4">
        <v>2409054412</v>
      </c>
      <c r="AF21" s="4" t="s">
        <v>445</v>
      </c>
      <c r="AG21" s="4">
        <v>21</v>
      </c>
      <c r="AW21" s="4">
        <v>86</v>
      </c>
      <c r="AY21" s="4" t="s">
        <v>437</v>
      </c>
      <c r="AZ21" s="4">
        <v>10</v>
      </c>
      <c r="BA21" s="4" t="s">
        <v>446</v>
      </c>
      <c r="BC21" s="4" t="s">
        <v>447</v>
      </c>
      <c r="BD21" s="4">
        <v>11</v>
      </c>
    </row>
    <row r="22" spans="1:56" s="4" customFormat="1" ht="15.75" customHeight="1" x14ac:dyDescent="0.2">
      <c r="A22" s="4">
        <v>23</v>
      </c>
      <c r="B22" s="4" t="s">
        <v>435</v>
      </c>
      <c r="C22" s="4" t="s">
        <v>436</v>
      </c>
      <c r="D22" s="4">
        <v>202</v>
      </c>
      <c r="E22" s="4">
        <v>30179155</v>
      </c>
      <c r="F22" s="4" t="s">
        <v>527</v>
      </c>
      <c r="H22" s="4" t="s">
        <v>434</v>
      </c>
      <c r="I22" s="4">
        <v>1</v>
      </c>
      <c r="J22" s="4" t="s">
        <v>438</v>
      </c>
      <c r="K22" s="46">
        <v>29.03</v>
      </c>
      <c r="L22" s="47" t="s">
        <v>530</v>
      </c>
      <c r="M22" s="4" t="s">
        <v>439</v>
      </c>
      <c r="N22" s="4" t="s">
        <v>440</v>
      </c>
      <c r="R22" s="4" t="s">
        <v>528</v>
      </c>
      <c r="S22" s="4" t="s">
        <v>442</v>
      </c>
      <c r="T22" s="4" t="s">
        <v>443</v>
      </c>
      <c r="W22" s="4" t="s">
        <v>437</v>
      </c>
      <c r="Y22" s="4" t="s">
        <v>529</v>
      </c>
      <c r="Z22" s="4" t="s">
        <v>47</v>
      </c>
      <c r="AA22" s="4" t="s">
        <v>27</v>
      </c>
      <c r="AB22" s="4" t="s">
        <v>17</v>
      </c>
      <c r="AC22" s="4">
        <v>10549</v>
      </c>
      <c r="AD22" s="4" t="s">
        <v>444</v>
      </c>
      <c r="AE22" s="4">
        <v>2401796523</v>
      </c>
      <c r="AF22" s="4" t="s">
        <v>445</v>
      </c>
      <c r="AG22" s="4">
        <v>21</v>
      </c>
      <c r="AW22" s="4">
        <v>86</v>
      </c>
      <c r="AY22" s="4" t="s">
        <v>437</v>
      </c>
      <c r="AZ22" s="4">
        <v>12</v>
      </c>
      <c r="BA22" s="4" t="s">
        <v>446</v>
      </c>
      <c r="BC22" s="4" t="s">
        <v>447</v>
      </c>
      <c r="BD22" s="4">
        <v>12</v>
      </c>
    </row>
    <row r="23" spans="1:56" s="4" customFormat="1" x14ac:dyDescent="0.2">
      <c r="A23" s="4">
        <v>23</v>
      </c>
      <c r="B23" s="4" t="s">
        <v>435</v>
      </c>
      <c r="C23" s="4" t="s">
        <v>436</v>
      </c>
      <c r="D23" s="4">
        <v>202</v>
      </c>
      <c r="E23" s="4">
        <v>30179155</v>
      </c>
      <c r="F23" s="4" t="s">
        <v>531</v>
      </c>
      <c r="H23" s="4" t="s">
        <v>434</v>
      </c>
      <c r="I23" s="4">
        <v>1</v>
      </c>
      <c r="J23" s="4" t="s">
        <v>438</v>
      </c>
      <c r="K23" s="46">
        <v>29.03</v>
      </c>
      <c r="L23" s="47" t="s">
        <v>530</v>
      </c>
      <c r="M23" s="4" t="s">
        <v>439</v>
      </c>
      <c r="N23" s="4" t="s">
        <v>440</v>
      </c>
      <c r="R23" s="4" t="s">
        <v>532</v>
      </c>
      <c r="S23" s="4" t="s">
        <v>442</v>
      </c>
      <c r="T23" s="4" t="s">
        <v>443</v>
      </c>
      <c r="W23" s="4" t="s">
        <v>437</v>
      </c>
      <c r="Y23" s="4" t="s">
        <v>533</v>
      </c>
      <c r="Z23" s="4" t="s">
        <v>48</v>
      </c>
      <c r="AA23" s="4" t="s">
        <v>49</v>
      </c>
      <c r="AB23" s="4" t="s">
        <v>17</v>
      </c>
      <c r="AC23" s="4">
        <v>10507</v>
      </c>
      <c r="AD23" s="4" t="s">
        <v>444</v>
      </c>
      <c r="AE23" s="4">
        <v>2400334182</v>
      </c>
      <c r="AF23" s="4" t="s">
        <v>445</v>
      </c>
      <c r="AG23" s="4">
        <v>21</v>
      </c>
      <c r="AW23" s="4">
        <v>86</v>
      </c>
      <c r="AY23" s="4" t="s">
        <v>437</v>
      </c>
      <c r="AZ23" s="4">
        <v>12</v>
      </c>
      <c r="BA23" s="4" t="s">
        <v>446</v>
      </c>
      <c r="BC23" s="4" t="s">
        <v>447</v>
      </c>
      <c r="BD23" s="4">
        <v>13</v>
      </c>
    </row>
    <row r="24" spans="1:56" s="4" customFormat="1" x14ac:dyDescent="0.2">
      <c r="A24" s="4">
        <v>23</v>
      </c>
      <c r="B24" s="4" t="s">
        <v>435</v>
      </c>
      <c r="C24" s="4" t="s">
        <v>436</v>
      </c>
      <c r="D24" s="4">
        <v>202</v>
      </c>
      <c r="E24" s="4">
        <v>30179155</v>
      </c>
      <c r="F24" s="4" t="s">
        <v>534</v>
      </c>
      <c r="H24" s="4" t="s">
        <v>434</v>
      </c>
      <c r="I24" s="4">
        <v>1</v>
      </c>
      <c r="J24" s="4" t="s">
        <v>438</v>
      </c>
      <c r="K24" s="46">
        <v>24.49</v>
      </c>
      <c r="L24" s="47" t="s">
        <v>530</v>
      </c>
      <c r="M24" s="4" t="s">
        <v>439</v>
      </c>
      <c r="N24" s="4" t="s">
        <v>440</v>
      </c>
      <c r="R24" s="4" t="s">
        <v>535</v>
      </c>
      <c r="S24" s="4" t="s">
        <v>442</v>
      </c>
      <c r="T24" s="4" t="s">
        <v>443</v>
      </c>
      <c r="W24" s="4" t="s">
        <v>437</v>
      </c>
      <c r="Y24" s="4" t="s">
        <v>536</v>
      </c>
      <c r="Z24" s="4" t="s">
        <v>50</v>
      </c>
      <c r="AA24" s="4" t="s">
        <v>27</v>
      </c>
      <c r="AB24" s="4" t="s">
        <v>17</v>
      </c>
      <c r="AC24" s="4">
        <v>10549</v>
      </c>
      <c r="AD24" s="4" t="s">
        <v>444</v>
      </c>
      <c r="AE24" s="4">
        <v>2400470904</v>
      </c>
      <c r="AF24" s="4" t="s">
        <v>445</v>
      </c>
      <c r="AG24" s="4">
        <v>21</v>
      </c>
      <c r="AW24" s="4">
        <v>86</v>
      </c>
      <c r="AY24" s="4" t="s">
        <v>437</v>
      </c>
      <c r="AZ24" s="4">
        <v>11</v>
      </c>
      <c r="BA24" s="4" t="s">
        <v>446</v>
      </c>
      <c r="BC24" s="4" t="s">
        <v>447</v>
      </c>
      <c r="BD24" s="4">
        <v>14</v>
      </c>
    </row>
    <row r="25" spans="1:56" s="4" customFormat="1" ht="15.75" customHeight="1" x14ac:dyDescent="0.2">
      <c r="A25" s="4">
        <v>23</v>
      </c>
      <c r="B25" s="4" t="s">
        <v>435</v>
      </c>
      <c r="C25" s="4" t="s">
        <v>436</v>
      </c>
      <c r="D25" s="4">
        <v>202</v>
      </c>
      <c r="E25" s="4">
        <v>30179155</v>
      </c>
      <c r="F25" s="4" t="s">
        <v>537</v>
      </c>
      <c r="H25" s="4" t="s">
        <v>434</v>
      </c>
      <c r="I25" s="4">
        <v>1</v>
      </c>
      <c r="J25" s="4" t="s">
        <v>438</v>
      </c>
      <c r="K25" s="46">
        <v>25.4</v>
      </c>
      <c r="L25" s="47" t="s">
        <v>530</v>
      </c>
      <c r="M25" s="4" t="s">
        <v>439</v>
      </c>
      <c r="N25" s="4" t="s">
        <v>440</v>
      </c>
      <c r="R25" s="4" t="s">
        <v>538</v>
      </c>
      <c r="S25" s="4" t="s">
        <v>442</v>
      </c>
      <c r="T25" s="4" t="s">
        <v>443</v>
      </c>
      <c r="W25" s="4" t="s">
        <v>437</v>
      </c>
      <c r="Y25" s="4" t="s">
        <v>539</v>
      </c>
      <c r="Z25" s="4" t="s">
        <v>51</v>
      </c>
      <c r="AA25" s="4" t="s">
        <v>27</v>
      </c>
      <c r="AB25" s="4" t="s">
        <v>17</v>
      </c>
      <c r="AC25" s="4">
        <v>10509</v>
      </c>
      <c r="AD25" s="4" t="s">
        <v>444</v>
      </c>
      <c r="AE25" s="4">
        <v>2401379875</v>
      </c>
      <c r="AF25" s="4" t="s">
        <v>445</v>
      </c>
      <c r="AG25" s="4">
        <v>21</v>
      </c>
      <c r="AW25" s="4">
        <v>86</v>
      </c>
      <c r="AY25" s="4" t="s">
        <v>437</v>
      </c>
      <c r="AZ25" s="4">
        <v>11</v>
      </c>
      <c r="BA25" s="4" t="s">
        <v>446</v>
      </c>
      <c r="BC25" s="4" t="s">
        <v>447</v>
      </c>
      <c r="BD25" s="4">
        <v>15</v>
      </c>
    </row>
    <row r="26" spans="1:56" s="4" customFormat="1" x14ac:dyDescent="0.2">
      <c r="A26" s="4">
        <v>23</v>
      </c>
      <c r="B26" s="4" t="s">
        <v>435</v>
      </c>
      <c r="C26" s="4" t="s">
        <v>436</v>
      </c>
      <c r="D26" s="4">
        <v>202</v>
      </c>
      <c r="E26" s="4">
        <v>30179155</v>
      </c>
      <c r="F26" s="4" t="s">
        <v>540</v>
      </c>
      <c r="H26" s="4" t="s">
        <v>434</v>
      </c>
      <c r="I26" s="4">
        <v>1</v>
      </c>
      <c r="J26" s="4" t="s">
        <v>438</v>
      </c>
      <c r="K26" s="46">
        <v>9.07</v>
      </c>
      <c r="L26" s="47" t="s">
        <v>543</v>
      </c>
      <c r="M26" s="4" t="s">
        <v>439</v>
      </c>
      <c r="N26" s="4" t="s">
        <v>440</v>
      </c>
      <c r="R26" s="4" t="s">
        <v>541</v>
      </c>
      <c r="S26" s="4" t="s">
        <v>442</v>
      </c>
      <c r="T26" s="4" t="s">
        <v>443</v>
      </c>
      <c r="W26" s="4" t="s">
        <v>437</v>
      </c>
      <c r="Y26" s="4" t="s">
        <v>542</v>
      </c>
      <c r="Z26" s="4" t="s">
        <v>52</v>
      </c>
      <c r="AA26" s="4" t="s">
        <v>25</v>
      </c>
      <c r="AB26" s="4" t="s">
        <v>17</v>
      </c>
      <c r="AC26" s="4">
        <v>10509</v>
      </c>
      <c r="AD26" s="4" t="s">
        <v>444</v>
      </c>
      <c r="AE26" s="4">
        <v>2401398925</v>
      </c>
      <c r="AF26" s="4" t="s">
        <v>445</v>
      </c>
      <c r="AG26" s="4">
        <v>21</v>
      </c>
      <c r="AW26" s="4">
        <v>86</v>
      </c>
      <c r="AY26" s="4" t="s">
        <v>437</v>
      </c>
      <c r="AZ26" s="4">
        <v>8</v>
      </c>
      <c r="BA26" s="4" t="s">
        <v>446</v>
      </c>
      <c r="BC26" s="4" t="s">
        <v>447</v>
      </c>
      <c r="BD26" s="4">
        <v>16</v>
      </c>
    </row>
    <row r="27" spans="1:56" s="4" customFormat="1" ht="15.75" customHeight="1" x14ac:dyDescent="0.2">
      <c r="A27" s="4">
        <v>23</v>
      </c>
      <c r="B27" s="4" t="s">
        <v>435</v>
      </c>
      <c r="C27" s="4" t="s">
        <v>436</v>
      </c>
      <c r="D27" s="4">
        <v>202</v>
      </c>
      <c r="E27" s="4">
        <v>30179155</v>
      </c>
      <c r="F27" s="4" t="s">
        <v>544</v>
      </c>
      <c r="H27" s="4" t="s">
        <v>434</v>
      </c>
      <c r="I27" s="4">
        <v>1</v>
      </c>
      <c r="J27" s="4" t="s">
        <v>438</v>
      </c>
      <c r="K27" s="46">
        <v>4.08</v>
      </c>
      <c r="L27" s="47" t="s">
        <v>530</v>
      </c>
      <c r="M27" s="4" t="s">
        <v>439</v>
      </c>
      <c r="N27" s="4" t="s">
        <v>440</v>
      </c>
      <c r="R27" s="4" t="s">
        <v>545</v>
      </c>
      <c r="S27" s="4" t="s">
        <v>442</v>
      </c>
      <c r="T27" s="4" t="s">
        <v>443</v>
      </c>
      <c r="W27" s="4" t="s">
        <v>437</v>
      </c>
      <c r="Y27" s="4" t="s">
        <v>546</v>
      </c>
      <c r="Z27" s="4" t="s">
        <v>53</v>
      </c>
      <c r="AA27" s="4" t="s">
        <v>27</v>
      </c>
      <c r="AB27" s="4" t="s">
        <v>17</v>
      </c>
      <c r="AC27" s="4">
        <v>10549</v>
      </c>
      <c r="AD27" s="4" t="s">
        <v>444</v>
      </c>
      <c r="AE27" s="4">
        <v>2406653915</v>
      </c>
      <c r="AF27" s="4" t="s">
        <v>445</v>
      </c>
      <c r="AG27" s="4">
        <v>21</v>
      </c>
      <c r="AW27" s="4">
        <v>86</v>
      </c>
      <c r="AY27" s="4" t="s">
        <v>437</v>
      </c>
      <c r="AZ27" s="4">
        <v>6</v>
      </c>
      <c r="BA27" s="4" t="s">
        <v>446</v>
      </c>
      <c r="BC27" s="4" t="s">
        <v>447</v>
      </c>
      <c r="BD27" s="4">
        <v>17</v>
      </c>
    </row>
    <row r="28" spans="1:56" s="4" customFormat="1" ht="14.25" customHeight="1" x14ac:dyDescent="0.2">
      <c r="A28" s="4">
        <v>23</v>
      </c>
      <c r="B28" s="4" t="s">
        <v>435</v>
      </c>
      <c r="C28" s="4" t="s">
        <v>436</v>
      </c>
      <c r="D28" s="4">
        <v>202</v>
      </c>
      <c r="E28" s="4">
        <v>30179155</v>
      </c>
      <c r="F28" s="4" t="s">
        <v>547</v>
      </c>
      <c r="H28" s="4" t="s">
        <v>434</v>
      </c>
      <c r="I28" s="4">
        <v>1</v>
      </c>
      <c r="J28" s="4" t="s">
        <v>438</v>
      </c>
      <c r="K28" s="46">
        <v>9.98</v>
      </c>
      <c r="L28" s="47" t="s">
        <v>550</v>
      </c>
      <c r="M28" s="4" t="s">
        <v>439</v>
      </c>
      <c r="N28" s="4" t="s">
        <v>440</v>
      </c>
      <c r="R28" s="4" t="s">
        <v>548</v>
      </c>
      <c r="S28" s="4" t="s">
        <v>442</v>
      </c>
      <c r="T28" s="4" t="s">
        <v>443</v>
      </c>
      <c r="W28" s="4" t="s">
        <v>437</v>
      </c>
      <c r="Y28" s="4" t="s">
        <v>549</v>
      </c>
      <c r="Z28" s="4" t="s">
        <v>54</v>
      </c>
      <c r="AA28" s="4" t="s">
        <v>55</v>
      </c>
      <c r="AB28" s="4" t="s">
        <v>17</v>
      </c>
      <c r="AC28" s="4">
        <v>10536</v>
      </c>
      <c r="AD28" s="4" t="s">
        <v>444</v>
      </c>
      <c r="AE28" s="4">
        <v>2400606025</v>
      </c>
      <c r="AF28" s="4" t="s">
        <v>445</v>
      </c>
      <c r="AG28" s="4">
        <v>21</v>
      </c>
      <c r="AW28" s="4">
        <v>86</v>
      </c>
      <c r="AY28" s="4" t="s">
        <v>437</v>
      </c>
      <c r="AZ28" s="4">
        <v>8</v>
      </c>
      <c r="BA28" s="4" t="s">
        <v>446</v>
      </c>
      <c r="BC28" s="4" t="s">
        <v>447</v>
      </c>
      <c r="BD28" s="4">
        <v>18</v>
      </c>
    </row>
    <row r="29" spans="1:56" s="4" customFormat="1" x14ac:dyDescent="0.2">
      <c r="A29" s="4">
        <v>23</v>
      </c>
      <c r="B29" s="4" t="s">
        <v>435</v>
      </c>
      <c r="C29" s="4" t="s">
        <v>436</v>
      </c>
      <c r="D29" s="4">
        <v>202</v>
      </c>
      <c r="E29" s="4">
        <v>30179155</v>
      </c>
      <c r="F29" s="4" t="s">
        <v>551</v>
      </c>
      <c r="H29" s="4" t="s">
        <v>434</v>
      </c>
      <c r="I29" s="4">
        <v>1</v>
      </c>
      <c r="J29" s="4" t="s">
        <v>438</v>
      </c>
      <c r="K29" s="46">
        <v>9.98</v>
      </c>
      <c r="L29" s="47" t="s">
        <v>550</v>
      </c>
      <c r="M29" s="4" t="s">
        <v>439</v>
      </c>
      <c r="N29" s="4" t="s">
        <v>440</v>
      </c>
      <c r="R29" s="4" t="s">
        <v>552</v>
      </c>
      <c r="S29" s="4" t="s">
        <v>442</v>
      </c>
      <c r="T29" s="4" t="s">
        <v>443</v>
      </c>
      <c r="W29" s="4" t="s">
        <v>437</v>
      </c>
      <c r="Y29" s="4" t="s">
        <v>553</v>
      </c>
      <c r="Z29" s="4" t="s">
        <v>56</v>
      </c>
      <c r="AA29" s="4" t="s">
        <v>27</v>
      </c>
      <c r="AB29" s="4" t="s">
        <v>17</v>
      </c>
      <c r="AC29" s="4">
        <v>10549</v>
      </c>
      <c r="AD29" s="4" t="s">
        <v>444</v>
      </c>
      <c r="AE29" s="4">
        <v>2401125685</v>
      </c>
      <c r="AF29" s="4" t="s">
        <v>445</v>
      </c>
      <c r="AG29" s="4">
        <v>21</v>
      </c>
      <c r="AW29" s="4">
        <v>86</v>
      </c>
      <c r="AY29" s="4" t="s">
        <v>437</v>
      </c>
      <c r="AZ29" s="4">
        <v>8</v>
      </c>
      <c r="BA29" s="4" t="s">
        <v>446</v>
      </c>
      <c r="BC29" s="4" t="s">
        <v>447</v>
      </c>
      <c r="BD29" s="4">
        <v>19</v>
      </c>
    </row>
    <row r="30" spans="1:56" s="4" customFormat="1" ht="15" customHeight="1" x14ac:dyDescent="0.2">
      <c r="A30" s="4">
        <v>23</v>
      </c>
      <c r="B30" s="4" t="s">
        <v>435</v>
      </c>
      <c r="C30" s="4" t="s">
        <v>436</v>
      </c>
      <c r="D30" s="4">
        <v>202</v>
      </c>
      <c r="E30" s="4">
        <v>30179155</v>
      </c>
      <c r="F30" s="4" t="s">
        <v>554</v>
      </c>
      <c r="H30" s="4" t="s">
        <v>434</v>
      </c>
      <c r="I30" s="4">
        <v>1</v>
      </c>
      <c r="J30" s="4" t="s">
        <v>438</v>
      </c>
      <c r="K30" s="46">
        <v>10.43</v>
      </c>
      <c r="L30" s="47" t="s">
        <v>550</v>
      </c>
      <c r="M30" s="4" t="s">
        <v>439</v>
      </c>
      <c r="N30" s="4" t="s">
        <v>440</v>
      </c>
      <c r="R30" s="4" t="s">
        <v>555</v>
      </c>
      <c r="S30" s="4" t="s">
        <v>442</v>
      </c>
      <c r="T30" s="4" t="s">
        <v>443</v>
      </c>
      <c r="W30" s="4" t="s">
        <v>437</v>
      </c>
      <c r="Y30" s="4" t="s">
        <v>556</v>
      </c>
      <c r="Z30" s="4" t="s">
        <v>57</v>
      </c>
      <c r="AA30" s="4" t="s">
        <v>25</v>
      </c>
      <c r="AB30" s="4" t="s">
        <v>17</v>
      </c>
      <c r="AC30" s="4">
        <v>10509</v>
      </c>
      <c r="AD30" s="4" t="s">
        <v>444</v>
      </c>
      <c r="AE30" s="4">
        <v>2401173258</v>
      </c>
      <c r="AF30" s="4" t="s">
        <v>445</v>
      </c>
      <c r="AG30" s="4">
        <v>21</v>
      </c>
      <c r="AW30" s="4">
        <v>86</v>
      </c>
      <c r="AY30" s="4" t="s">
        <v>437</v>
      </c>
      <c r="AZ30" s="4">
        <v>8</v>
      </c>
      <c r="BA30" s="4" t="s">
        <v>446</v>
      </c>
      <c r="BC30" s="4" t="s">
        <v>447</v>
      </c>
      <c r="BD30" s="4">
        <v>20</v>
      </c>
    </row>
    <row r="31" spans="1:56" s="4" customFormat="1" x14ac:dyDescent="0.2">
      <c r="A31" s="4">
        <v>23</v>
      </c>
      <c r="B31" s="4" t="s">
        <v>435</v>
      </c>
      <c r="C31" s="4" t="s">
        <v>436</v>
      </c>
      <c r="D31" s="4">
        <v>202</v>
      </c>
      <c r="E31" s="4">
        <v>30179155</v>
      </c>
      <c r="F31" s="4" t="s">
        <v>557</v>
      </c>
      <c r="H31" s="4" t="s">
        <v>434</v>
      </c>
      <c r="I31" s="4">
        <v>1</v>
      </c>
      <c r="J31" s="4" t="s">
        <v>438</v>
      </c>
      <c r="K31" s="46">
        <v>15.88</v>
      </c>
      <c r="L31" s="47" t="s">
        <v>560</v>
      </c>
      <c r="M31" s="4" t="s">
        <v>439</v>
      </c>
      <c r="N31" s="4" t="s">
        <v>440</v>
      </c>
      <c r="R31" s="4" t="s">
        <v>558</v>
      </c>
      <c r="S31" s="4" t="s">
        <v>442</v>
      </c>
      <c r="T31" s="4" t="s">
        <v>443</v>
      </c>
      <c r="W31" s="4" t="s">
        <v>437</v>
      </c>
      <c r="Y31" s="4" t="s">
        <v>559</v>
      </c>
      <c r="Z31" s="4" t="s">
        <v>58</v>
      </c>
      <c r="AA31" s="4" t="s">
        <v>55</v>
      </c>
      <c r="AB31" s="4" t="s">
        <v>17</v>
      </c>
      <c r="AC31" s="4">
        <v>10536</v>
      </c>
      <c r="AD31" s="4" t="s">
        <v>444</v>
      </c>
      <c r="AE31" s="4">
        <v>2401521225</v>
      </c>
      <c r="AF31" s="4" t="s">
        <v>445</v>
      </c>
      <c r="AG31" s="4">
        <v>21</v>
      </c>
      <c r="AW31" s="4">
        <v>86</v>
      </c>
      <c r="AY31" s="4" t="s">
        <v>437</v>
      </c>
      <c r="AZ31" s="4">
        <v>9</v>
      </c>
      <c r="BA31" s="4" t="s">
        <v>446</v>
      </c>
      <c r="BC31" s="4" t="s">
        <v>447</v>
      </c>
      <c r="BD31" s="4">
        <v>21</v>
      </c>
    </row>
    <row r="32" spans="1:56" s="4" customFormat="1" x14ac:dyDescent="0.2">
      <c r="A32" s="4">
        <v>23</v>
      </c>
      <c r="B32" s="4" t="s">
        <v>435</v>
      </c>
      <c r="C32" s="4" t="s">
        <v>436</v>
      </c>
      <c r="D32" s="4">
        <v>202</v>
      </c>
      <c r="E32" s="4">
        <v>30179155</v>
      </c>
      <c r="F32" s="4" t="s">
        <v>561</v>
      </c>
      <c r="H32" s="4" t="s">
        <v>434</v>
      </c>
      <c r="I32" s="4">
        <v>1</v>
      </c>
      <c r="J32" s="4" t="s">
        <v>438</v>
      </c>
      <c r="K32" s="46">
        <v>16.78</v>
      </c>
      <c r="L32" s="47" t="s">
        <v>564</v>
      </c>
      <c r="M32" s="4" t="s">
        <v>439</v>
      </c>
      <c r="N32" s="4" t="s">
        <v>440</v>
      </c>
      <c r="R32" s="4" t="s">
        <v>562</v>
      </c>
      <c r="S32" s="4" t="s">
        <v>442</v>
      </c>
      <c r="T32" s="4" t="s">
        <v>443</v>
      </c>
      <c r="W32" s="4" t="s">
        <v>437</v>
      </c>
      <c r="Y32" s="4" t="s">
        <v>563</v>
      </c>
      <c r="Z32" s="4" t="s">
        <v>59</v>
      </c>
      <c r="AA32" s="4" t="s">
        <v>25</v>
      </c>
      <c r="AB32" s="4" t="s">
        <v>17</v>
      </c>
      <c r="AC32" s="4">
        <v>10509</v>
      </c>
      <c r="AD32" s="4" t="s">
        <v>444</v>
      </c>
      <c r="AE32" s="4">
        <v>2401723355</v>
      </c>
      <c r="AF32" s="4" t="s">
        <v>445</v>
      </c>
      <c r="AG32" s="4">
        <v>21</v>
      </c>
      <c r="AW32" s="4">
        <v>86</v>
      </c>
      <c r="AY32" s="4" t="s">
        <v>437</v>
      </c>
      <c r="AZ32" s="4">
        <v>9</v>
      </c>
      <c r="BA32" s="4" t="s">
        <v>446</v>
      </c>
      <c r="BC32" s="4" t="s">
        <v>447</v>
      </c>
      <c r="BD32" s="4">
        <v>21</v>
      </c>
    </row>
    <row r="33" spans="1:56" s="4" customFormat="1" ht="17.25" customHeight="1" x14ac:dyDescent="0.2">
      <c r="A33" s="4">
        <v>23</v>
      </c>
      <c r="B33" s="4" t="s">
        <v>435</v>
      </c>
      <c r="C33" s="4" t="s">
        <v>436</v>
      </c>
      <c r="D33" s="4">
        <v>202</v>
      </c>
      <c r="E33" s="4">
        <v>30179155</v>
      </c>
      <c r="F33" s="4" t="s">
        <v>565</v>
      </c>
      <c r="H33" s="4" t="s">
        <v>434</v>
      </c>
      <c r="I33" s="4">
        <v>1</v>
      </c>
      <c r="J33" s="4" t="s">
        <v>438</v>
      </c>
      <c r="K33" s="46">
        <v>24.95</v>
      </c>
      <c r="L33" s="47" t="s">
        <v>568</v>
      </c>
      <c r="M33" s="4" t="s">
        <v>439</v>
      </c>
      <c r="N33" s="4" t="s">
        <v>440</v>
      </c>
      <c r="R33" s="4" t="s">
        <v>566</v>
      </c>
      <c r="S33" s="4" t="s">
        <v>442</v>
      </c>
      <c r="T33" s="4" t="s">
        <v>443</v>
      </c>
      <c r="W33" s="4" t="s">
        <v>437</v>
      </c>
      <c r="Y33" s="4" t="s">
        <v>567</v>
      </c>
      <c r="Z33" s="4" t="s">
        <v>60</v>
      </c>
      <c r="AA33" s="4" t="s">
        <v>27</v>
      </c>
      <c r="AB33" s="4" t="s">
        <v>17</v>
      </c>
      <c r="AC33" s="4">
        <v>10549</v>
      </c>
      <c r="AD33" s="4" t="s">
        <v>444</v>
      </c>
      <c r="AE33" s="4">
        <v>2405574115</v>
      </c>
      <c r="AF33" s="4" t="s">
        <v>445</v>
      </c>
      <c r="AG33" s="4">
        <v>21</v>
      </c>
      <c r="AW33" s="4">
        <v>86</v>
      </c>
      <c r="AY33" s="4" t="s">
        <v>437</v>
      </c>
      <c r="AZ33" s="4">
        <v>11</v>
      </c>
      <c r="BA33" s="4" t="s">
        <v>446</v>
      </c>
      <c r="BC33" s="4" t="s">
        <v>447</v>
      </c>
      <c r="BD33" s="4">
        <v>22</v>
      </c>
    </row>
    <row r="34" spans="1:56" s="4" customFormat="1" ht="14.25" customHeight="1" x14ac:dyDescent="0.2">
      <c r="A34" s="4">
        <v>23</v>
      </c>
      <c r="B34" s="4" t="s">
        <v>435</v>
      </c>
      <c r="C34" s="4" t="s">
        <v>436</v>
      </c>
      <c r="D34" s="4">
        <v>202</v>
      </c>
      <c r="E34" s="4">
        <v>30179155</v>
      </c>
      <c r="F34" s="4" t="s">
        <v>569</v>
      </c>
      <c r="H34" s="4" t="s">
        <v>434</v>
      </c>
      <c r="I34" s="4">
        <v>1</v>
      </c>
      <c r="J34" s="4" t="s">
        <v>438</v>
      </c>
      <c r="K34" s="46">
        <v>14.97</v>
      </c>
      <c r="L34" s="47" t="s">
        <v>572</v>
      </c>
      <c r="M34" s="4" t="s">
        <v>439</v>
      </c>
      <c r="N34" s="4" t="s">
        <v>440</v>
      </c>
      <c r="R34" s="4" t="s">
        <v>570</v>
      </c>
      <c r="S34" s="4" t="s">
        <v>442</v>
      </c>
      <c r="T34" s="4" t="s">
        <v>443</v>
      </c>
      <c r="W34" s="4" t="s">
        <v>437</v>
      </c>
      <c r="Y34" s="4" t="s">
        <v>571</v>
      </c>
      <c r="Z34" s="4" t="s">
        <v>61</v>
      </c>
      <c r="AA34" s="4" t="s">
        <v>27</v>
      </c>
      <c r="AB34" s="4" t="s">
        <v>17</v>
      </c>
      <c r="AC34" s="4">
        <v>10549</v>
      </c>
      <c r="AD34" s="4" t="s">
        <v>444</v>
      </c>
      <c r="AE34" s="4">
        <v>9145224015</v>
      </c>
      <c r="AF34" s="4" t="s">
        <v>445</v>
      </c>
      <c r="AG34" s="4">
        <v>21</v>
      </c>
      <c r="AW34" s="4">
        <v>86</v>
      </c>
      <c r="AY34" s="4" t="s">
        <v>437</v>
      </c>
      <c r="AZ34" s="4">
        <v>9</v>
      </c>
      <c r="BA34" s="4" t="s">
        <v>446</v>
      </c>
      <c r="BC34" s="4" t="s">
        <v>447</v>
      </c>
      <c r="BD34" s="4">
        <v>22</v>
      </c>
    </row>
    <row r="35" spans="1:56" s="4" customFormat="1" ht="15.75" customHeight="1" x14ac:dyDescent="0.2">
      <c r="A35" s="4">
        <v>23</v>
      </c>
      <c r="B35" s="4" t="s">
        <v>435</v>
      </c>
      <c r="C35" s="4" t="s">
        <v>436</v>
      </c>
      <c r="D35" s="4">
        <v>202</v>
      </c>
      <c r="E35" s="4">
        <v>30179155</v>
      </c>
      <c r="F35" s="4" t="s">
        <v>573</v>
      </c>
      <c r="H35" s="4" t="s">
        <v>434</v>
      </c>
      <c r="I35" s="4">
        <v>1</v>
      </c>
      <c r="J35" s="4" t="s">
        <v>438</v>
      </c>
      <c r="K35" s="46">
        <v>19.5</v>
      </c>
      <c r="L35" s="47" t="s">
        <v>572</v>
      </c>
      <c r="M35" s="4" t="s">
        <v>439</v>
      </c>
      <c r="N35" s="4" t="s">
        <v>440</v>
      </c>
      <c r="R35" s="4" t="s">
        <v>574</v>
      </c>
      <c r="S35" s="4" t="s">
        <v>442</v>
      </c>
      <c r="T35" s="4" t="s">
        <v>443</v>
      </c>
      <c r="W35" s="4" t="s">
        <v>437</v>
      </c>
      <c r="Y35" s="4" t="s">
        <v>575</v>
      </c>
      <c r="Z35" s="4" t="s">
        <v>62</v>
      </c>
      <c r="AA35" s="4" t="s">
        <v>63</v>
      </c>
      <c r="AB35" s="4" t="s">
        <v>17</v>
      </c>
      <c r="AC35" s="4">
        <v>10514</v>
      </c>
      <c r="AD35" s="4" t="s">
        <v>444</v>
      </c>
      <c r="AE35" s="4">
        <v>9145221025</v>
      </c>
      <c r="AF35" s="4" t="s">
        <v>445</v>
      </c>
      <c r="AG35" s="4">
        <v>21</v>
      </c>
      <c r="AW35" s="4">
        <v>86</v>
      </c>
      <c r="AY35" s="4" t="s">
        <v>437</v>
      </c>
      <c r="AZ35" s="4">
        <v>10</v>
      </c>
      <c r="BA35" s="4" t="s">
        <v>446</v>
      </c>
      <c r="BC35" s="4" t="s">
        <v>447</v>
      </c>
      <c r="BD35" s="4">
        <v>23</v>
      </c>
    </row>
    <row r="36" spans="1:56" s="4" customFormat="1" ht="14.25" customHeight="1" x14ac:dyDescent="0.2">
      <c r="A36" s="4">
        <v>23</v>
      </c>
      <c r="B36" s="4" t="s">
        <v>435</v>
      </c>
      <c r="C36" s="4" t="s">
        <v>436</v>
      </c>
      <c r="D36" s="4">
        <v>202</v>
      </c>
      <c r="E36" s="4">
        <v>30179155</v>
      </c>
      <c r="F36" s="4" t="s">
        <v>576</v>
      </c>
      <c r="H36" s="4" t="s">
        <v>434</v>
      </c>
      <c r="I36" s="4">
        <v>1</v>
      </c>
      <c r="J36" s="4" t="s">
        <v>438</v>
      </c>
      <c r="K36" s="46">
        <v>20.41</v>
      </c>
      <c r="L36" s="47" t="s">
        <v>580</v>
      </c>
      <c r="M36" s="4" t="s">
        <v>439</v>
      </c>
      <c r="N36" s="4" t="s">
        <v>440</v>
      </c>
      <c r="R36" s="4" t="s">
        <v>577</v>
      </c>
      <c r="S36" s="4" t="s">
        <v>442</v>
      </c>
      <c r="T36" s="4" t="s">
        <v>443</v>
      </c>
      <c r="W36" s="4" t="s">
        <v>437</v>
      </c>
      <c r="Y36" s="4" t="s">
        <v>578</v>
      </c>
      <c r="Z36" s="4" t="s">
        <v>64</v>
      </c>
      <c r="AA36" s="4" t="s">
        <v>27</v>
      </c>
      <c r="AB36" s="4" t="s">
        <v>17</v>
      </c>
      <c r="AC36" s="4">
        <v>10549</v>
      </c>
      <c r="AD36" s="4" t="s">
        <v>444</v>
      </c>
      <c r="AE36" s="4">
        <v>2403652201</v>
      </c>
      <c r="AF36" s="4" t="s">
        <v>445</v>
      </c>
      <c r="AG36" s="4">
        <v>21</v>
      </c>
      <c r="AW36" s="4">
        <v>86</v>
      </c>
      <c r="AY36" s="4" t="s">
        <v>437</v>
      </c>
      <c r="AZ36" s="4">
        <v>10</v>
      </c>
      <c r="BA36" s="4" t="s">
        <v>446</v>
      </c>
      <c r="BC36" s="4" t="s">
        <v>447</v>
      </c>
      <c r="BD36" s="4">
        <v>23</v>
      </c>
    </row>
    <row r="37" spans="1:56" s="4" customFormat="1" x14ac:dyDescent="0.2">
      <c r="A37" s="4">
        <v>23</v>
      </c>
      <c r="B37" s="4" t="s">
        <v>435</v>
      </c>
      <c r="C37" s="4" t="s">
        <v>436</v>
      </c>
      <c r="D37" s="4">
        <v>202</v>
      </c>
      <c r="E37" s="4">
        <v>30179155</v>
      </c>
      <c r="F37" s="4" t="s">
        <v>581</v>
      </c>
      <c r="H37" s="4" t="s">
        <v>434</v>
      </c>
      <c r="I37" s="4">
        <v>1</v>
      </c>
      <c r="J37" s="4" t="s">
        <v>438</v>
      </c>
      <c r="K37" s="46">
        <v>20.41</v>
      </c>
      <c r="L37" s="47" t="s">
        <v>584</v>
      </c>
      <c r="M37" s="4" t="s">
        <v>439</v>
      </c>
      <c r="N37" s="4" t="s">
        <v>440</v>
      </c>
      <c r="R37" s="4" t="s">
        <v>582</v>
      </c>
      <c r="S37" s="4" t="s">
        <v>442</v>
      </c>
      <c r="T37" s="4" t="s">
        <v>443</v>
      </c>
      <c r="W37" s="4" t="s">
        <v>437</v>
      </c>
      <c r="Y37" s="4" t="s">
        <v>583</v>
      </c>
      <c r="Z37" s="4" t="s">
        <v>65</v>
      </c>
      <c r="AA37" s="4" t="s">
        <v>21</v>
      </c>
      <c r="AB37" s="4" t="s">
        <v>17</v>
      </c>
      <c r="AC37" s="4">
        <v>10080</v>
      </c>
      <c r="AD37" s="4" t="s">
        <v>444</v>
      </c>
      <c r="AE37" s="4">
        <v>2408441025</v>
      </c>
      <c r="AF37" s="4" t="s">
        <v>445</v>
      </c>
      <c r="AG37" s="4">
        <v>21</v>
      </c>
      <c r="AW37" s="4">
        <v>86</v>
      </c>
      <c r="AY37" s="4" t="s">
        <v>437</v>
      </c>
      <c r="AZ37" s="4">
        <v>10</v>
      </c>
      <c r="BA37" s="4" t="s">
        <v>446</v>
      </c>
      <c r="BC37" s="4" t="s">
        <v>447</v>
      </c>
      <c r="BD37" s="4">
        <v>24</v>
      </c>
    </row>
    <row r="38" spans="1:56" s="4" customFormat="1" ht="15" customHeight="1" x14ac:dyDescent="0.2">
      <c r="A38" s="4">
        <v>23</v>
      </c>
      <c r="B38" s="4" t="s">
        <v>435</v>
      </c>
      <c r="C38" s="4" t="s">
        <v>436</v>
      </c>
      <c r="D38" s="4">
        <v>202</v>
      </c>
      <c r="E38" s="4">
        <v>30179155</v>
      </c>
      <c r="F38" s="4" t="s">
        <v>585</v>
      </c>
      <c r="H38" s="4" t="s">
        <v>434</v>
      </c>
      <c r="I38" s="4">
        <v>1</v>
      </c>
      <c r="J38" s="4" t="s">
        <v>438</v>
      </c>
      <c r="K38" s="46">
        <v>20.41</v>
      </c>
      <c r="L38" s="47" t="s">
        <v>588</v>
      </c>
      <c r="M38" s="4" t="s">
        <v>439</v>
      </c>
      <c r="N38" s="4" t="s">
        <v>440</v>
      </c>
      <c r="R38" s="4" t="s">
        <v>586</v>
      </c>
      <c r="S38" s="4" t="s">
        <v>442</v>
      </c>
      <c r="T38" s="4" t="s">
        <v>443</v>
      </c>
      <c r="W38" s="4" t="s">
        <v>437</v>
      </c>
      <c r="Y38" s="4" t="s">
        <v>587</v>
      </c>
      <c r="Z38" s="4" t="s">
        <v>66</v>
      </c>
      <c r="AA38" s="4" t="s">
        <v>25</v>
      </c>
      <c r="AB38" s="4" t="s">
        <v>17</v>
      </c>
      <c r="AC38" s="4">
        <v>10509</v>
      </c>
      <c r="AD38" s="4" t="s">
        <v>444</v>
      </c>
      <c r="AE38" s="4">
        <v>7717770250</v>
      </c>
      <c r="AF38" s="4" t="s">
        <v>445</v>
      </c>
      <c r="AG38" s="4">
        <v>21</v>
      </c>
      <c r="AW38" s="4">
        <v>86</v>
      </c>
      <c r="AY38" s="4" t="s">
        <v>437</v>
      </c>
      <c r="AZ38" s="4">
        <v>10</v>
      </c>
      <c r="BA38" s="4" t="s">
        <v>446</v>
      </c>
      <c r="BC38" s="4" t="s">
        <v>447</v>
      </c>
      <c r="BD38" s="4">
        <v>24</v>
      </c>
    </row>
    <row r="39" spans="1:56" s="4" customFormat="1" ht="15" customHeight="1" x14ac:dyDescent="0.2">
      <c r="A39" s="4">
        <v>23</v>
      </c>
      <c r="B39" s="4" t="s">
        <v>435</v>
      </c>
      <c r="C39" s="4" t="s">
        <v>436</v>
      </c>
      <c r="D39" s="4">
        <v>202</v>
      </c>
      <c r="E39" s="4">
        <v>30179155</v>
      </c>
      <c r="F39" s="4" t="s">
        <v>589</v>
      </c>
      <c r="H39" s="4" t="s">
        <v>434</v>
      </c>
      <c r="I39" s="4">
        <v>1</v>
      </c>
      <c r="J39" s="4" t="s">
        <v>438</v>
      </c>
      <c r="K39" s="46">
        <v>20.41</v>
      </c>
      <c r="L39" s="47" t="s">
        <v>592</v>
      </c>
      <c r="M39" s="4" t="s">
        <v>439</v>
      </c>
      <c r="N39" s="4" t="s">
        <v>440</v>
      </c>
      <c r="R39" s="4" t="s">
        <v>590</v>
      </c>
      <c r="S39" s="4" t="s">
        <v>442</v>
      </c>
      <c r="T39" s="4" t="s">
        <v>443</v>
      </c>
      <c r="W39" s="4" t="s">
        <v>437</v>
      </c>
      <c r="Y39" s="4" t="s">
        <v>591</v>
      </c>
      <c r="Z39" s="4" t="s">
        <v>67</v>
      </c>
      <c r="AA39" s="4" t="s">
        <v>27</v>
      </c>
      <c r="AB39" s="4" t="s">
        <v>17</v>
      </c>
      <c r="AC39" s="4">
        <v>10549</v>
      </c>
      <c r="AD39" s="4" t="s">
        <v>444</v>
      </c>
      <c r="AE39" s="4">
        <v>2408554665</v>
      </c>
      <c r="AF39" s="4" t="s">
        <v>445</v>
      </c>
      <c r="AG39" s="4">
        <v>21</v>
      </c>
      <c r="AW39" s="4">
        <v>86</v>
      </c>
      <c r="AY39" s="4" t="s">
        <v>437</v>
      </c>
      <c r="AZ39" s="4">
        <v>10</v>
      </c>
      <c r="BA39" s="4" t="s">
        <v>446</v>
      </c>
      <c r="BC39" s="4" t="s">
        <v>447</v>
      </c>
      <c r="BD39" s="4">
        <v>25</v>
      </c>
    </row>
    <row r="40" spans="1:56" s="4" customFormat="1" x14ac:dyDescent="0.2">
      <c r="A40" s="4">
        <v>23</v>
      </c>
      <c r="B40" s="4" t="s">
        <v>435</v>
      </c>
      <c r="C40" s="4" t="s">
        <v>436</v>
      </c>
      <c r="D40" s="4">
        <v>202</v>
      </c>
      <c r="E40" s="4">
        <v>30179155</v>
      </c>
      <c r="F40" s="4" t="s">
        <v>593</v>
      </c>
      <c r="H40" s="4" t="s">
        <v>434</v>
      </c>
      <c r="I40" s="4">
        <v>1</v>
      </c>
      <c r="J40" s="4" t="s">
        <v>438</v>
      </c>
      <c r="K40" s="46">
        <v>20.41</v>
      </c>
      <c r="L40" s="47" t="s">
        <v>597</v>
      </c>
      <c r="M40" s="4" t="s">
        <v>439</v>
      </c>
      <c r="N40" s="4" t="s">
        <v>440</v>
      </c>
      <c r="R40" s="4" t="s">
        <v>594</v>
      </c>
      <c r="S40" s="4" t="s">
        <v>442</v>
      </c>
      <c r="T40" s="4" t="s">
        <v>443</v>
      </c>
      <c r="W40" s="4" t="s">
        <v>437</v>
      </c>
      <c r="Y40" s="4" t="s">
        <v>595</v>
      </c>
      <c r="Z40" s="4" t="s">
        <v>68</v>
      </c>
      <c r="AA40" s="4" t="s">
        <v>69</v>
      </c>
      <c r="AB40" s="4" t="s">
        <v>17</v>
      </c>
      <c r="AC40" s="4">
        <v>10009</v>
      </c>
      <c r="AD40" s="4" t="s">
        <v>444</v>
      </c>
      <c r="AE40" s="4">
        <v>2409554025</v>
      </c>
      <c r="AF40" s="4" t="s">
        <v>445</v>
      </c>
      <c r="AG40" s="4">
        <v>21</v>
      </c>
      <c r="AW40" s="4">
        <v>86</v>
      </c>
      <c r="AY40" s="4" t="s">
        <v>437</v>
      </c>
      <c r="AZ40" s="4">
        <v>10</v>
      </c>
      <c r="BA40" s="4" t="s">
        <v>446</v>
      </c>
      <c r="BC40" s="4" t="s">
        <v>447</v>
      </c>
      <c r="BD40" s="4">
        <v>25</v>
      </c>
    </row>
    <row r="41" spans="1:56" s="4" customFormat="1" ht="15" customHeight="1" x14ac:dyDescent="0.2">
      <c r="A41" s="4">
        <v>23</v>
      </c>
      <c r="B41" s="4" t="s">
        <v>435</v>
      </c>
      <c r="C41" s="4" t="s">
        <v>436</v>
      </c>
      <c r="D41" s="4">
        <v>202</v>
      </c>
      <c r="E41" s="4">
        <v>30179155</v>
      </c>
      <c r="F41" s="4" t="s">
        <v>598</v>
      </c>
      <c r="H41" s="4" t="s">
        <v>434</v>
      </c>
      <c r="I41" s="4">
        <v>1</v>
      </c>
      <c r="J41" s="4" t="s">
        <v>438</v>
      </c>
      <c r="K41" s="46">
        <v>22.68</v>
      </c>
      <c r="L41" s="47" t="s">
        <v>601</v>
      </c>
      <c r="M41" s="4" t="s">
        <v>439</v>
      </c>
      <c r="N41" s="4" t="s">
        <v>440</v>
      </c>
      <c r="R41" s="4" t="s">
        <v>599</v>
      </c>
      <c r="S41" s="4" t="s">
        <v>442</v>
      </c>
      <c r="T41" s="4" t="s">
        <v>443</v>
      </c>
      <c r="W41" s="4" t="s">
        <v>437</v>
      </c>
      <c r="Y41" s="4" t="s">
        <v>600</v>
      </c>
      <c r="Z41" s="4" t="s">
        <v>70</v>
      </c>
      <c r="AA41" s="4" t="s">
        <v>69</v>
      </c>
      <c r="AB41" s="4" t="s">
        <v>17</v>
      </c>
      <c r="AC41" s="4">
        <v>10001</v>
      </c>
      <c r="AD41" s="4" t="s">
        <v>444</v>
      </c>
      <c r="AE41" s="4">
        <v>2405574015</v>
      </c>
      <c r="AF41" s="4" t="s">
        <v>445</v>
      </c>
      <c r="AG41" s="4">
        <v>21</v>
      </c>
      <c r="AW41" s="4">
        <v>86</v>
      </c>
      <c r="AY41" s="4" t="s">
        <v>437</v>
      </c>
      <c r="AZ41" s="4">
        <v>11</v>
      </c>
      <c r="BA41" s="4" t="s">
        <v>446</v>
      </c>
      <c r="BC41" s="4" t="s">
        <v>447</v>
      </c>
      <c r="BD41" s="4">
        <v>26</v>
      </c>
    </row>
    <row r="42" spans="1:56" s="4" customFormat="1" x14ac:dyDescent="0.2">
      <c r="A42" s="4">
        <v>23</v>
      </c>
      <c r="B42" s="4" t="s">
        <v>435</v>
      </c>
      <c r="C42" s="4" t="s">
        <v>436</v>
      </c>
      <c r="D42" s="4">
        <v>202</v>
      </c>
      <c r="E42" s="4">
        <v>30179155</v>
      </c>
      <c r="F42" s="4" t="s">
        <v>602</v>
      </c>
      <c r="H42" s="4" t="s">
        <v>434</v>
      </c>
      <c r="I42" s="4">
        <v>1</v>
      </c>
      <c r="J42" s="4" t="s">
        <v>438</v>
      </c>
      <c r="K42" s="46">
        <v>22.68</v>
      </c>
      <c r="L42" s="47" t="s">
        <v>605</v>
      </c>
      <c r="M42" s="4" t="s">
        <v>439</v>
      </c>
      <c r="N42" s="4" t="s">
        <v>440</v>
      </c>
      <c r="R42" s="4" t="s">
        <v>603</v>
      </c>
      <c r="S42" s="4" t="s">
        <v>442</v>
      </c>
      <c r="T42" s="4" t="s">
        <v>443</v>
      </c>
      <c r="W42" s="4" t="s">
        <v>437</v>
      </c>
      <c r="Y42" s="4" t="s">
        <v>604</v>
      </c>
      <c r="Z42" s="4" t="s">
        <v>71</v>
      </c>
      <c r="AA42" s="4" t="s">
        <v>27</v>
      </c>
      <c r="AB42" s="4" t="s">
        <v>17</v>
      </c>
      <c r="AC42" s="4">
        <v>10549</v>
      </c>
      <c r="AD42" s="4" t="s">
        <v>444</v>
      </c>
      <c r="AE42" s="4">
        <v>2401086415</v>
      </c>
      <c r="AF42" s="4" t="s">
        <v>445</v>
      </c>
      <c r="AG42" s="4">
        <v>21</v>
      </c>
      <c r="AW42" s="4">
        <v>86</v>
      </c>
      <c r="AY42" s="4" t="s">
        <v>437</v>
      </c>
      <c r="AZ42" s="4">
        <v>11</v>
      </c>
      <c r="BA42" s="4" t="s">
        <v>446</v>
      </c>
      <c r="BC42" s="4" t="s">
        <v>447</v>
      </c>
      <c r="BD42" s="4">
        <v>27</v>
      </c>
    </row>
    <row r="43" spans="1:56" s="4" customFormat="1" x14ac:dyDescent="0.2">
      <c r="A43" s="4">
        <v>23</v>
      </c>
      <c r="B43" s="4" t="s">
        <v>435</v>
      </c>
      <c r="C43" s="4" t="s">
        <v>436</v>
      </c>
      <c r="D43" s="4">
        <v>202</v>
      </c>
      <c r="E43" s="4">
        <v>30179155</v>
      </c>
      <c r="F43" s="4" t="s">
        <v>606</v>
      </c>
      <c r="H43" s="4" t="s">
        <v>434</v>
      </c>
      <c r="I43" s="4">
        <v>1</v>
      </c>
      <c r="J43" s="4" t="s">
        <v>438</v>
      </c>
      <c r="K43" s="46">
        <v>23.59</v>
      </c>
      <c r="L43" s="47" t="s">
        <v>609</v>
      </c>
      <c r="M43" s="4" t="s">
        <v>439</v>
      </c>
      <c r="N43" s="4" t="s">
        <v>440</v>
      </c>
      <c r="R43" s="4" t="s">
        <v>607</v>
      </c>
      <c r="S43" s="4" t="s">
        <v>442</v>
      </c>
      <c r="T43" s="4" t="s">
        <v>443</v>
      </c>
      <c r="W43" s="4" t="s">
        <v>437</v>
      </c>
      <c r="Y43" s="4" t="s">
        <v>608</v>
      </c>
      <c r="Z43" s="4" t="s">
        <v>72</v>
      </c>
      <c r="AA43" s="4" t="s">
        <v>27</v>
      </c>
      <c r="AB43" s="4" t="s">
        <v>17</v>
      </c>
      <c r="AC43" s="4">
        <v>10549</v>
      </c>
      <c r="AD43" s="4" t="s">
        <v>444</v>
      </c>
      <c r="AE43" s="4">
        <v>9145406225</v>
      </c>
      <c r="AF43" s="4" t="s">
        <v>445</v>
      </c>
      <c r="AG43" s="4">
        <v>21</v>
      </c>
      <c r="AW43" s="4">
        <v>86</v>
      </c>
      <c r="AY43" s="4" t="s">
        <v>437</v>
      </c>
      <c r="AZ43" s="4">
        <v>11</v>
      </c>
      <c r="BA43" s="4" t="s">
        <v>446</v>
      </c>
      <c r="BC43" s="4" t="s">
        <v>447</v>
      </c>
      <c r="BD43" s="4">
        <v>28</v>
      </c>
    </row>
    <row r="44" spans="1:56" s="4" customFormat="1" x14ac:dyDescent="0.2">
      <c r="A44" s="4">
        <v>23</v>
      </c>
      <c r="B44" s="4" t="s">
        <v>435</v>
      </c>
      <c r="C44" s="4" t="s">
        <v>436</v>
      </c>
      <c r="D44" s="4">
        <v>202</v>
      </c>
      <c r="E44" s="4">
        <v>30179155</v>
      </c>
      <c r="F44" s="4" t="s">
        <v>610</v>
      </c>
      <c r="H44" s="4" t="s">
        <v>434</v>
      </c>
      <c r="I44" s="4">
        <v>1</v>
      </c>
      <c r="J44" s="4" t="s">
        <v>438</v>
      </c>
      <c r="K44" s="46">
        <v>11.79</v>
      </c>
      <c r="L44" s="47" t="s">
        <v>613</v>
      </c>
      <c r="M44" s="4" t="s">
        <v>439</v>
      </c>
      <c r="N44" s="4" t="s">
        <v>440</v>
      </c>
      <c r="R44" s="4" t="s">
        <v>611</v>
      </c>
      <c r="S44" s="4" t="s">
        <v>442</v>
      </c>
      <c r="T44" s="4" t="s">
        <v>443</v>
      </c>
      <c r="W44" s="4" t="s">
        <v>437</v>
      </c>
      <c r="Y44" s="4" t="s">
        <v>612</v>
      </c>
      <c r="Z44" s="4" t="s">
        <v>73</v>
      </c>
      <c r="AA44" s="4" t="s">
        <v>27</v>
      </c>
      <c r="AB44" s="4" t="s">
        <v>17</v>
      </c>
      <c r="AC44" s="4">
        <v>10549</v>
      </c>
      <c r="AD44" s="4" t="s">
        <v>444</v>
      </c>
      <c r="AE44" s="4">
        <v>3015224015</v>
      </c>
      <c r="AF44" s="4" t="s">
        <v>445</v>
      </c>
      <c r="AG44" s="4">
        <v>21</v>
      </c>
      <c r="AW44" s="4">
        <v>86</v>
      </c>
      <c r="AY44" s="4" t="s">
        <v>437</v>
      </c>
      <c r="AZ44" s="4">
        <v>8</v>
      </c>
      <c r="BA44" s="4" t="s">
        <v>446</v>
      </c>
      <c r="BC44" s="4" t="s">
        <v>447</v>
      </c>
      <c r="BD44" s="4">
        <v>28</v>
      </c>
    </row>
    <row r="45" spans="1:56" s="4" customFormat="1" x14ac:dyDescent="0.2">
      <c r="A45" s="4">
        <v>23</v>
      </c>
      <c r="B45" s="4" t="s">
        <v>435</v>
      </c>
      <c r="C45" s="4" t="s">
        <v>436</v>
      </c>
      <c r="D45" s="4">
        <v>202</v>
      </c>
      <c r="E45" s="4">
        <v>30179155</v>
      </c>
      <c r="F45" s="4" t="s">
        <v>614</v>
      </c>
      <c r="H45" s="4" t="s">
        <v>434</v>
      </c>
      <c r="I45" s="4">
        <v>1</v>
      </c>
      <c r="J45" s="4" t="s">
        <v>438</v>
      </c>
      <c r="K45" s="46">
        <v>24.95</v>
      </c>
      <c r="L45" s="47" t="s">
        <v>618</v>
      </c>
      <c r="M45" s="4" t="s">
        <v>439</v>
      </c>
      <c r="N45" s="4" t="s">
        <v>440</v>
      </c>
      <c r="R45" s="4" t="s">
        <v>615</v>
      </c>
      <c r="S45" s="4" t="s">
        <v>630</v>
      </c>
      <c r="T45" s="4" t="s">
        <v>443</v>
      </c>
      <c r="W45" s="4" t="s">
        <v>437</v>
      </c>
      <c r="Y45" s="4" t="s">
        <v>616</v>
      </c>
      <c r="Z45" s="4" t="s">
        <v>74</v>
      </c>
      <c r="AA45" s="4" t="s">
        <v>27</v>
      </c>
      <c r="AB45" s="4" t="s">
        <v>17</v>
      </c>
      <c r="AC45" s="4">
        <v>10549</v>
      </c>
      <c r="AD45" s="4" t="s">
        <v>444</v>
      </c>
      <c r="AE45" s="4">
        <v>2405228054</v>
      </c>
      <c r="AF45" s="4" t="s">
        <v>445</v>
      </c>
      <c r="AG45" s="4">
        <v>21</v>
      </c>
      <c r="AW45" s="4">
        <v>86</v>
      </c>
      <c r="AY45" s="4" t="s">
        <v>437</v>
      </c>
      <c r="AZ45" s="4">
        <v>11</v>
      </c>
      <c r="BA45" s="4" t="s">
        <v>446</v>
      </c>
      <c r="BC45" s="4" t="s">
        <v>447</v>
      </c>
      <c r="BD45" s="4">
        <v>29</v>
      </c>
    </row>
    <row r="46" spans="1:56" s="4" customFormat="1" x14ac:dyDescent="0.2">
      <c r="A46" s="4">
        <v>23</v>
      </c>
      <c r="B46" s="4" t="s">
        <v>435</v>
      </c>
      <c r="C46" s="4" t="s">
        <v>436</v>
      </c>
      <c r="D46" s="4">
        <v>202</v>
      </c>
      <c r="E46" s="4">
        <v>30179155</v>
      </c>
      <c r="F46" s="4" t="s">
        <v>619</v>
      </c>
      <c r="H46" s="4" t="s">
        <v>434</v>
      </c>
      <c r="I46" s="4">
        <v>1</v>
      </c>
      <c r="J46" s="4" t="s">
        <v>438</v>
      </c>
      <c r="K46" s="46">
        <v>27.22</v>
      </c>
      <c r="L46" s="47" t="s">
        <v>530</v>
      </c>
      <c r="M46" s="4" t="s">
        <v>439</v>
      </c>
      <c r="N46" s="4" t="s">
        <v>440</v>
      </c>
      <c r="R46" s="4" t="s">
        <v>620</v>
      </c>
      <c r="S46" s="4" t="s">
        <v>442</v>
      </c>
      <c r="T46" s="4" t="s">
        <v>443</v>
      </c>
      <c r="W46" s="4" t="s">
        <v>437</v>
      </c>
      <c r="Y46" s="4" t="s">
        <v>621</v>
      </c>
      <c r="Z46" s="4" t="s">
        <v>75</v>
      </c>
      <c r="AA46" s="4" t="s">
        <v>27</v>
      </c>
      <c r="AB46" s="4" t="s">
        <v>17</v>
      </c>
      <c r="AC46" s="4">
        <v>10549</v>
      </c>
      <c r="AD46" s="4" t="s">
        <v>444</v>
      </c>
      <c r="AE46" s="4">
        <v>9149980605</v>
      </c>
      <c r="AF46" s="4" t="s">
        <v>445</v>
      </c>
      <c r="AG46" s="4">
        <v>21</v>
      </c>
      <c r="AW46" s="4">
        <v>86</v>
      </c>
      <c r="AY46" s="4" t="s">
        <v>437</v>
      </c>
      <c r="AZ46" s="4">
        <v>12</v>
      </c>
      <c r="BA46" s="4" t="s">
        <v>446</v>
      </c>
      <c r="BC46" s="4" t="s">
        <v>447</v>
      </c>
      <c r="BD46" s="4">
        <v>32</v>
      </c>
    </row>
    <row r="47" spans="1:56" s="4" customFormat="1" ht="14.25" customHeight="1" x14ac:dyDescent="0.2">
      <c r="A47" s="4">
        <v>23</v>
      </c>
      <c r="B47" s="4" t="s">
        <v>435</v>
      </c>
      <c r="C47" s="4" t="s">
        <v>436</v>
      </c>
      <c r="D47" s="4">
        <v>202</v>
      </c>
      <c r="E47" s="4">
        <v>30179155</v>
      </c>
      <c r="F47" s="4" t="s">
        <v>622</v>
      </c>
      <c r="H47" s="4" t="s">
        <v>434</v>
      </c>
      <c r="I47" s="4">
        <v>1</v>
      </c>
      <c r="J47" s="4" t="s">
        <v>438</v>
      </c>
      <c r="K47" s="46">
        <v>6.8</v>
      </c>
      <c r="L47" s="47" t="s">
        <v>625</v>
      </c>
      <c r="M47" s="4" t="s">
        <v>439</v>
      </c>
      <c r="N47" s="4" t="s">
        <v>440</v>
      </c>
      <c r="R47" s="4" t="s">
        <v>623</v>
      </c>
      <c r="S47" s="4" t="s">
        <v>442</v>
      </c>
      <c r="T47" s="4" t="s">
        <v>443</v>
      </c>
      <c r="W47" s="4" t="s">
        <v>437</v>
      </c>
      <c r="Y47" s="4" t="s">
        <v>624</v>
      </c>
      <c r="Z47" s="4" t="s">
        <v>76</v>
      </c>
      <c r="AA47" s="4" t="s">
        <v>49</v>
      </c>
      <c r="AB47" s="4" t="s">
        <v>17</v>
      </c>
      <c r="AC47" s="4">
        <v>10507</v>
      </c>
      <c r="AD47" s="4" t="s">
        <v>444</v>
      </c>
      <c r="AE47" s="4">
        <v>9148897525</v>
      </c>
      <c r="AF47" s="4" t="s">
        <v>445</v>
      </c>
      <c r="AG47" s="4">
        <v>21</v>
      </c>
      <c r="AW47" s="4">
        <v>86</v>
      </c>
      <c r="AY47" s="4" t="s">
        <v>437</v>
      </c>
      <c r="AZ47" s="4">
        <v>7</v>
      </c>
      <c r="BA47" s="4" t="s">
        <v>446</v>
      </c>
      <c r="BC47" s="4" t="s">
        <v>447</v>
      </c>
      <c r="BD47" s="4">
        <v>33</v>
      </c>
    </row>
    <row r="48" spans="1:56" s="4" customFormat="1" ht="30" x14ac:dyDescent="0.2">
      <c r="A48" s="4">
        <v>23</v>
      </c>
      <c r="B48" s="4" t="s">
        <v>435</v>
      </c>
      <c r="C48" s="4" t="s">
        <v>436</v>
      </c>
      <c r="D48" s="4">
        <v>202</v>
      </c>
      <c r="E48" s="4">
        <v>30179155</v>
      </c>
      <c r="F48" s="4" t="s">
        <v>626</v>
      </c>
      <c r="H48" s="4" t="s">
        <v>434</v>
      </c>
      <c r="I48" s="4">
        <v>1</v>
      </c>
      <c r="J48" s="4" t="s">
        <v>438</v>
      </c>
      <c r="K48" s="46">
        <v>20.41</v>
      </c>
      <c r="L48" s="47" t="s">
        <v>629</v>
      </c>
      <c r="M48" s="4" t="s">
        <v>439</v>
      </c>
      <c r="N48" s="4" t="s">
        <v>440</v>
      </c>
      <c r="R48" s="4" t="s">
        <v>627</v>
      </c>
      <c r="S48" s="4" t="s">
        <v>442</v>
      </c>
      <c r="T48" s="4" t="s">
        <v>443</v>
      </c>
      <c r="W48" s="4" t="s">
        <v>437</v>
      </c>
      <c r="Y48" s="4" t="s">
        <v>628</v>
      </c>
      <c r="Z48" s="4" t="s">
        <v>77</v>
      </c>
      <c r="AA48" s="4" t="s">
        <v>69</v>
      </c>
      <c r="AB48" s="4" t="s">
        <v>17</v>
      </c>
      <c r="AC48" s="4">
        <v>10080</v>
      </c>
      <c r="AD48" s="4" t="s">
        <v>444</v>
      </c>
      <c r="AE48" s="4">
        <v>2405416685</v>
      </c>
      <c r="AF48" s="4" t="s">
        <v>445</v>
      </c>
      <c r="AG48" s="4">
        <v>21</v>
      </c>
      <c r="AW48" s="4">
        <v>86</v>
      </c>
      <c r="AY48" s="4" t="s">
        <v>437</v>
      </c>
      <c r="AZ48" s="4">
        <v>10</v>
      </c>
      <c r="BA48" s="4" t="s">
        <v>446</v>
      </c>
      <c r="BC48" s="4" t="s">
        <v>447</v>
      </c>
      <c r="BD48" s="4">
        <v>34</v>
      </c>
    </row>
    <row r="49" spans="1:68" s="4" customFormat="1" ht="30" x14ac:dyDescent="0.2">
      <c r="A49" s="4">
        <v>23</v>
      </c>
      <c r="B49" s="4" t="s">
        <v>435</v>
      </c>
      <c r="C49" s="4" t="s">
        <v>436</v>
      </c>
      <c r="D49" s="4">
        <v>202</v>
      </c>
      <c r="E49" s="4">
        <v>30179155</v>
      </c>
      <c r="F49" s="4" t="s">
        <v>631</v>
      </c>
      <c r="H49" s="4" t="s">
        <v>434</v>
      </c>
      <c r="I49" s="4">
        <v>1</v>
      </c>
      <c r="J49" s="4" t="s">
        <v>438</v>
      </c>
      <c r="K49" s="46">
        <v>22.68</v>
      </c>
      <c r="L49" s="47" t="s">
        <v>634</v>
      </c>
      <c r="M49" s="4" t="s">
        <v>439</v>
      </c>
      <c r="N49" s="4" t="s">
        <v>440</v>
      </c>
      <c r="R49" s="4" t="s">
        <v>632</v>
      </c>
      <c r="S49" s="4" t="s">
        <v>442</v>
      </c>
      <c r="T49" s="4" t="s">
        <v>443</v>
      </c>
      <c r="W49" s="4" t="s">
        <v>437</v>
      </c>
      <c r="Y49" s="4" t="s">
        <v>633</v>
      </c>
      <c r="Z49" s="4" t="s">
        <v>80</v>
      </c>
      <c r="AA49" s="4" t="s">
        <v>49</v>
      </c>
      <c r="AB49" s="4" t="s">
        <v>17</v>
      </c>
      <c r="AC49" s="4">
        <v>10509</v>
      </c>
      <c r="AD49" s="4" t="s">
        <v>444</v>
      </c>
      <c r="AE49" s="4">
        <v>9145200452</v>
      </c>
      <c r="AF49" s="4" t="s">
        <v>445</v>
      </c>
      <c r="AG49" s="4">
        <v>21</v>
      </c>
      <c r="AW49" s="4">
        <v>86</v>
      </c>
      <c r="AY49" s="4" t="s">
        <v>437</v>
      </c>
      <c r="AZ49" s="4">
        <v>11</v>
      </c>
      <c r="BA49" s="4" t="s">
        <v>446</v>
      </c>
      <c r="BC49" s="4" t="s">
        <v>447</v>
      </c>
      <c r="BD49" s="4">
        <v>35</v>
      </c>
    </row>
    <row r="50" spans="1:68" s="4" customFormat="1" ht="15" customHeight="1" x14ac:dyDescent="0.2">
      <c r="A50" s="4">
        <v>23</v>
      </c>
      <c r="B50" s="4" t="s">
        <v>435</v>
      </c>
      <c r="C50" s="4" t="s">
        <v>436</v>
      </c>
      <c r="D50" s="4">
        <v>202</v>
      </c>
      <c r="E50" s="4">
        <v>30179155</v>
      </c>
      <c r="F50" s="4" t="s">
        <v>635</v>
      </c>
      <c r="H50" s="4" t="s">
        <v>434</v>
      </c>
      <c r="I50" s="4">
        <v>1</v>
      </c>
      <c r="J50" s="4" t="s">
        <v>438</v>
      </c>
      <c r="K50" s="46">
        <v>9.07</v>
      </c>
      <c r="L50" s="47" t="s">
        <v>639</v>
      </c>
      <c r="M50" s="4" t="s">
        <v>439</v>
      </c>
      <c r="N50" s="4" t="s">
        <v>440</v>
      </c>
      <c r="R50" s="4" t="s">
        <v>636</v>
      </c>
      <c r="S50" s="4" t="s">
        <v>442</v>
      </c>
      <c r="T50" s="4" t="s">
        <v>443</v>
      </c>
      <c r="W50" s="4" t="s">
        <v>437</v>
      </c>
      <c r="Y50" s="4" t="s">
        <v>637</v>
      </c>
      <c r="Z50" s="4" t="s">
        <v>81</v>
      </c>
      <c r="AA50" s="4" t="s">
        <v>27</v>
      </c>
      <c r="AB50" s="4" t="s">
        <v>17</v>
      </c>
      <c r="AC50" s="4">
        <v>10549</v>
      </c>
      <c r="AD50" s="4" t="s">
        <v>444</v>
      </c>
      <c r="AE50" s="4">
        <v>3013307585</v>
      </c>
      <c r="AF50" s="4" t="s">
        <v>445</v>
      </c>
      <c r="AG50" s="4">
        <v>21</v>
      </c>
      <c r="AW50" s="4">
        <v>86</v>
      </c>
      <c r="AY50" s="4" t="s">
        <v>437</v>
      </c>
      <c r="AZ50" s="4">
        <v>8</v>
      </c>
      <c r="BA50" s="4" t="s">
        <v>446</v>
      </c>
      <c r="BC50" s="4" t="s">
        <v>447</v>
      </c>
      <c r="BD50" s="4">
        <v>36</v>
      </c>
    </row>
    <row r="51" spans="1:68" ht="15.75" customHeight="1" x14ac:dyDescent="0.2">
      <c r="A51" s="4">
        <v>23</v>
      </c>
      <c r="B51" s="4" t="s">
        <v>435</v>
      </c>
      <c r="C51" s="4" t="s">
        <v>436</v>
      </c>
      <c r="D51" s="4">
        <v>202</v>
      </c>
      <c r="E51" s="4">
        <v>30179155</v>
      </c>
      <c r="F51" s="4" t="s">
        <v>640</v>
      </c>
      <c r="G51" s="4"/>
      <c r="H51" s="4" t="s">
        <v>434</v>
      </c>
      <c r="I51" s="4">
        <v>1</v>
      </c>
      <c r="J51" s="4" t="s">
        <v>438</v>
      </c>
      <c r="K51" s="46">
        <v>9.07</v>
      </c>
      <c r="L51" s="47" t="s">
        <v>625</v>
      </c>
      <c r="M51" s="4" t="s">
        <v>439</v>
      </c>
      <c r="N51" s="4" t="s">
        <v>440</v>
      </c>
      <c r="O51" s="4"/>
      <c r="P51" s="4"/>
      <c r="Q51" s="4"/>
      <c r="R51" s="4" t="s">
        <v>641</v>
      </c>
      <c r="S51" s="4" t="s">
        <v>442</v>
      </c>
      <c r="T51" s="4" t="s">
        <v>443</v>
      </c>
      <c r="U51" s="4"/>
      <c r="V51" s="4"/>
      <c r="W51" s="4" t="s">
        <v>437</v>
      </c>
      <c r="X51" s="4"/>
      <c r="Y51" s="4" t="s">
        <v>642</v>
      </c>
      <c r="Z51" s="4" t="s">
        <v>82</v>
      </c>
      <c r="AA51" s="4" t="s">
        <v>27</v>
      </c>
      <c r="AB51" s="4" t="s">
        <v>17</v>
      </c>
      <c r="AC51" s="4">
        <v>10549</v>
      </c>
      <c r="AD51" s="4" t="s">
        <v>444</v>
      </c>
      <c r="AE51" s="4">
        <v>3011751995</v>
      </c>
      <c r="AF51" s="4" t="s">
        <v>445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437</v>
      </c>
      <c r="AZ51" s="4">
        <v>8</v>
      </c>
      <c r="BA51" s="4" t="s">
        <v>446</v>
      </c>
      <c r="BB51" s="4"/>
      <c r="BC51" s="4" t="s">
        <v>447</v>
      </c>
      <c r="BD51" s="4">
        <v>37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6"/>
      <c r="L52" s="47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>
        <v>23</v>
      </c>
      <c r="B53" s="4" t="s">
        <v>435</v>
      </c>
      <c r="C53" s="4" t="s">
        <v>436</v>
      </c>
      <c r="D53" s="4">
        <v>202</v>
      </c>
      <c r="E53" s="4">
        <v>30179155</v>
      </c>
      <c r="F53" s="4" t="s">
        <v>643</v>
      </c>
      <c r="G53" s="4"/>
      <c r="H53" s="4" t="s">
        <v>434</v>
      </c>
      <c r="I53" s="4">
        <v>1</v>
      </c>
      <c r="J53" s="4" t="s">
        <v>438</v>
      </c>
      <c r="K53" s="46">
        <v>18.14</v>
      </c>
      <c r="L53" s="47" t="s">
        <v>646</v>
      </c>
      <c r="M53" s="4" t="s">
        <v>439</v>
      </c>
      <c r="N53" s="4" t="s">
        <v>440</v>
      </c>
      <c r="O53" s="4"/>
      <c r="P53" s="4"/>
      <c r="Q53" s="4"/>
      <c r="R53" s="4" t="s">
        <v>644</v>
      </c>
      <c r="S53" s="4" t="s">
        <v>442</v>
      </c>
      <c r="T53" s="4" t="s">
        <v>443</v>
      </c>
      <c r="U53" s="4"/>
      <c r="V53" s="4"/>
      <c r="W53" s="4" t="s">
        <v>437</v>
      </c>
      <c r="X53" s="4"/>
      <c r="Y53" s="4" t="s">
        <v>645</v>
      </c>
      <c r="Z53" s="4" t="s">
        <v>85</v>
      </c>
      <c r="AA53" s="4" t="s">
        <v>86</v>
      </c>
      <c r="AB53" s="4" t="s">
        <v>17</v>
      </c>
      <c r="AC53" s="4">
        <v>10514</v>
      </c>
      <c r="AD53" s="4" t="s">
        <v>444</v>
      </c>
      <c r="AE53" s="4">
        <v>3012244587</v>
      </c>
      <c r="AF53" s="4" t="s">
        <v>445</v>
      </c>
      <c r="AG53" s="4">
        <v>21</v>
      </c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>
        <v>86</v>
      </c>
      <c r="AX53" s="4"/>
      <c r="AY53" s="4" t="s">
        <v>437</v>
      </c>
      <c r="AZ53" s="4">
        <v>10</v>
      </c>
      <c r="BA53" s="4" t="s">
        <v>446</v>
      </c>
      <c r="BB53" s="4"/>
      <c r="BC53" s="4" t="s">
        <v>447</v>
      </c>
      <c r="BD53" s="4">
        <v>38</v>
      </c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>
        <v>23</v>
      </c>
      <c r="B54" s="4" t="s">
        <v>435</v>
      </c>
      <c r="C54" s="4" t="s">
        <v>436</v>
      </c>
      <c r="D54" s="4">
        <v>202</v>
      </c>
      <c r="E54" s="4">
        <v>30179155</v>
      </c>
      <c r="F54" s="4" t="s">
        <v>647</v>
      </c>
      <c r="G54" s="4"/>
      <c r="H54" s="4" t="s">
        <v>434</v>
      </c>
      <c r="I54" s="4">
        <v>1</v>
      </c>
      <c r="J54" s="4" t="s">
        <v>438</v>
      </c>
      <c r="K54" s="46">
        <v>16.78</v>
      </c>
      <c r="L54" s="47" t="s">
        <v>651</v>
      </c>
      <c r="M54" s="4" t="s">
        <v>439</v>
      </c>
      <c r="N54" s="4" t="s">
        <v>440</v>
      </c>
      <c r="O54" s="4"/>
      <c r="P54" s="4"/>
      <c r="Q54" s="4"/>
      <c r="R54" s="4" t="s">
        <v>648</v>
      </c>
      <c r="S54" s="4" t="s">
        <v>442</v>
      </c>
      <c r="T54" s="4" t="s">
        <v>443</v>
      </c>
      <c r="U54" s="4"/>
      <c r="V54" s="4"/>
      <c r="W54" s="4" t="s">
        <v>437</v>
      </c>
      <c r="X54" s="4"/>
      <c r="Y54" s="4" t="s">
        <v>649</v>
      </c>
      <c r="Z54" s="4" t="s">
        <v>91</v>
      </c>
      <c r="AA54" s="4" t="s">
        <v>27</v>
      </c>
      <c r="AB54" s="4" t="s">
        <v>17</v>
      </c>
      <c r="AC54" s="4">
        <v>10509</v>
      </c>
      <c r="AD54" s="4" t="s">
        <v>444</v>
      </c>
      <c r="AE54" s="4">
        <v>3018755544</v>
      </c>
      <c r="AF54" s="4" t="s">
        <v>445</v>
      </c>
      <c r="AG54" s="4">
        <v>21</v>
      </c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>
        <v>86</v>
      </c>
      <c r="AX54" s="4"/>
      <c r="AY54" s="4" t="s">
        <v>437</v>
      </c>
      <c r="AZ54" s="4">
        <v>9</v>
      </c>
      <c r="BA54" s="4" t="s">
        <v>446</v>
      </c>
      <c r="BB54" s="4"/>
      <c r="BC54" s="4" t="s">
        <v>447</v>
      </c>
      <c r="BD54" s="4">
        <v>31</v>
      </c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>
        <v>23</v>
      </c>
      <c r="B55" s="4" t="s">
        <v>435</v>
      </c>
      <c r="C55" s="4" t="s">
        <v>436</v>
      </c>
      <c r="D55" s="4">
        <v>202</v>
      </c>
      <c r="E55" s="4">
        <v>30179155</v>
      </c>
      <c r="F55" s="4" t="s">
        <v>652</v>
      </c>
      <c r="G55" s="4"/>
      <c r="H55" s="4" t="s">
        <v>434</v>
      </c>
      <c r="I55" s="4">
        <v>1</v>
      </c>
      <c r="J55" s="4" t="s">
        <v>438</v>
      </c>
      <c r="K55" s="46">
        <v>34.47</v>
      </c>
      <c r="L55" s="47" t="s">
        <v>656</v>
      </c>
      <c r="M55" s="4" t="s">
        <v>439</v>
      </c>
      <c r="N55" s="4" t="s">
        <v>440</v>
      </c>
      <c r="O55" s="4"/>
      <c r="P55" s="4"/>
      <c r="Q55" s="4"/>
      <c r="R55" s="4" t="s">
        <v>653</v>
      </c>
      <c r="S55" s="4" t="s">
        <v>526</v>
      </c>
      <c r="T55" s="4" t="s">
        <v>443</v>
      </c>
      <c r="U55" s="4"/>
      <c r="V55" s="4"/>
      <c r="W55" s="4" t="s">
        <v>437</v>
      </c>
      <c r="X55" s="4"/>
      <c r="Y55" s="4" t="s">
        <v>654</v>
      </c>
      <c r="Z55" s="4" t="s">
        <v>96</v>
      </c>
      <c r="AA55" s="4" t="s">
        <v>25</v>
      </c>
      <c r="AB55" s="4" t="s">
        <v>17</v>
      </c>
      <c r="AC55" s="4">
        <v>10509</v>
      </c>
      <c r="AD55" s="4" t="s">
        <v>444</v>
      </c>
      <c r="AE55" s="4">
        <v>4435098789</v>
      </c>
      <c r="AF55" s="4" t="s">
        <v>445</v>
      </c>
      <c r="AG55" s="4">
        <v>21</v>
      </c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>
        <v>86</v>
      </c>
      <c r="AX55" s="4"/>
      <c r="AY55" s="4" t="s">
        <v>437</v>
      </c>
      <c r="AZ55" s="4">
        <v>13</v>
      </c>
      <c r="BA55" s="4" t="s">
        <v>446</v>
      </c>
      <c r="BB55" s="4"/>
      <c r="BC55" s="4" t="s">
        <v>447</v>
      </c>
      <c r="BD55" s="4">
        <v>30</v>
      </c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ht="15.75" customHeight="1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s="4" customFormat="1" ht="15" customHeight="1" x14ac:dyDescent="0.2">
      <c r="K66" s="46"/>
      <c r="L66" s="47"/>
    </row>
    <row r="67" spans="1:68" s="4" customFormat="1" x14ac:dyDescent="0.2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8"/>
      <c r="L67" s="69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</row>
    <row r="68" spans="1:68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6"/>
      <c r="L68" s="47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1:68" ht="15.7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4.2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4.2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1"/>
    <cfRule type="duplicateValues" dxfId="3" priority="2"/>
    <cfRule type="duplicateValues" dxfId="2" priority="5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5"/>
  <sheetViews>
    <sheetView workbookViewId="0">
      <selection activeCell="C11" sqref="C11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407</v>
      </c>
      <c r="B2" s="55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456</v>
      </c>
      <c r="B5" t="s">
        <v>433</v>
      </c>
    </row>
    <row r="6" spans="1:2" x14ac:dyDescent="0.25">
      <c r="A6" t="s">
        <v>461</v>
      </c>
      <c r="B6" t="s">
        <v>433</v>
      </c>
    </row>
    <row r="7" spans="1:2" x14ac:dyDescent="0.25">
      <c r="A7" t="s">
        <v>466</v>
      </c>
      <c r="B7" t="s">
        <v>433</v>
      </c>
    </row>
    <row r="8" spans="1:2" x14ac:dyDescent="0.25">
      <c r="A8" t="s">
        <v>470</v>
      </c>
      <c r="B8" t="s">
        <v>433</v>
      </c>
    </row>
    <row r="9" spans="1:2" x14ac:dyDescent="0.25">
      <c r="A9" t="s">
        <v>475</v>
      </c>
      <c r="B9" t="s">
        <v>433</v>
      </c>
    </row>
    <row r="10" spans="1:2" x14ac:dyDescent="0.25">
      <c r="A10" t="s">
        <v>480</v>
      </c>
      <c r="B10" t="s">
        <v>433</v>
      </c>
    </row>
    <row r="11" spans="1:2" x14ac:dyDescent="0.25">
      <c r="A11" t="s">
        <v>485</v>
      </c>
      <c r="B11" t="s">
        <v>433</v>
      </c>
    </row>
    <row r="12" spans="1:2" x14ac:dyDescent="0.25">
      <c r="A12" t="s">
        <v>490</v>
      </c>
      <c r="B12" t="s">
        <v>433</v>
      </c>
    </row>
    <row r="13" spans="1:2" x14ac:dyDescent="0.25">
      <c r="A13" t="s">
        <v>452</v>
      </c>
      <c r="B13" t="s">
        <v>433</v>
      </c>
    </row>
    <row r="14" spans="1:2" x14ac:dyDescent="0.25">
      <c r="A14" t="s">
        <v>456</v>
      </c>
      <c r="B14" t="s">
        <v>433</v>
      </c>
    </row>
    <row r="15" spans="1:2" x14ac:dyDescent="0.25">
      <c r="A15" t="s">
        <v>470</v>
      </c>
      <c r="B15" t="s">
        <v>433</v>
      </c>
    </row>
    <row r="16" spans="1:2" x14ac:dyDescent="0.25">
      <c r="A16" t="s">
        <v>507</v>
      </c>
      <c r="B16" t="s">
        <v>433</v>
      </c>
    </row>
    <row r="17" spans="1:2" x14ac:dyDescent="0.25">
      <c r="A17" t="s">
        <v>466</v>
      </c>
      <c r="B17" t="s">
        <v>433</v>
      </c>
    </row>
    <row r="18" spans="1:2" x14ac:dyDescent="0.25">
      <c r="A18" t="s">
        <v>461</v>
      </c>
      <c r="B18" t="s">
        <v>433</v>
      </c>
    </row>
    <row r="19" spans="1:2" x14ac:dyDescent="0.25">
      <c r="A19" t="s">
        <v>432</v>
      </c>
      <c r="B19" t="s">
        <v>433</v>
      </c>
    </row>
    <row r="20" spans="1:2" x14ac:dyDescent="0.25">
      <c r="A20" t="s">
        <v>521</v>
      </c>
      <c r="B20" t="s">
        <v>433</v>
      </c>
    </row>
    <row r="21" spans="1:2" x14ac:dyDescent="0.25">
      <c r="A21" t="s">
        <v>490</v>
      </c>
      <c r="B21" t="s">
        <v>433</v>
      </c>
    </row>
    <row r="22" spans="1:2" x14ac:dyDescent="0.25">
      <c r="A22" t="s">
        <v>507</v>
      </c>
      <c r="B22" t="s">
        <v>405</v>
      </c>
    </row>
    <row r="23" spans="1:2" x14ac:dyDescent="0.25">
      <c r="A23" t="s">
        <v>507</v>
      </c>
      <c r="B23" t="s">
        <v>405</v>
      </c>
    </row>
    <row r="24" spans="1:2" x14ac:dyDescent="0.25">
      <c r="A24" t="s">
        <v>507</v>
      </c>
      <c r="B24" t="s">
        <v>405</v>
      </c>
    </row>
    <row r="25" spans="1:2" x14ac:dyDescent="0.25">
      <c r="A25" t="s">
        <v>507</v>
      </c>
      <c r="B25" t="s">
        <v>405</v>
      </c>
    </row>
    <row r="26" spans="1:2" x14ac:dyDescent="0.25">
      <c r="A26" t="s">
        <v>507</v>
      </c>
      <c r="B26" t="s">
        <v>405</v>
      </c>
    </row>
    <row r="27" spans="1:2" x14ac:dyDescent="0.25">
      <c r="A27" t="s">
        <v>507</v>
      </c>
      <c r="B27" t="s">
        <v>405</v>
      </c>
    </row>
    <row r="28" spans="1:2" x14ac:dyDescent="0.25">
      <c r="A28" t="s">
        <v>507</v>
      </c>
      <c r="B28" t="s">
        <v>405</v>
      </c>
    </row>
    <row r="29" spans="1:2" x14ac:dyDescent="0.25">
      <c r="A29" t="s">
        <v>507</v>
      </c>
      <c r="B29" t="s">
        <v>405</v>
      </c>
    </row>
    <row r="30" spans="1:2" x14ac:dyDescent="0.25">
      <c r="A30" t="s">
        <v>507</v>
      </c>
      <c r="B30" t="s">
        <v>405</v>
      </c>
    </row>
    <row r="31" spans="1:2" x14ac:dyDescent="0.25">
      <c r="A31" t="s">
        <v>507</v>
      </c>
      <c r="B31" t="s">
        <v>405</v>
      </c>
    </row>
    <row r="32" spans="1:2" x14ac:dyDescent="0.25">
      <c r="A32" t="s">
        <v>507</v>
      </c>
      <c r="B32" t="s">
        <v>405</v>
      </c>
    </row>
    <row r="33" spans="1:2" x14ac:dyDescent="0.25">
      <c r="A33" t="s">
        <v>480</v>
      </c>
      <c r="B33" t="s">
        <v>405</v>
      </c>
    </row>
    <row r="34" spans="1:2" x14ac:dyDescent="0.25">
      <c r="A34" t="s">
        <v>470</v>
      </c>
      <c r="B34" t="s">
        <v>405</v>
      </c>
    </row>
    <row r="35" spans="1:2" x14ac:dyDescent="0.25">
      <c r="A35" t="s">
        <v>470</v>
      </c>
      <c r="B35" t="s">
        <v>405</v>
      </c>
    </row>
    <row r="36" spans="1:2" x14ac:dyDescent="0.25">
      <c r="A36" t="s">
        <v>579</v>
      </c>
      <c r="B36" t="s">
        <v>405</v>
      </c>
    </row>
    <row r="37" spans="1:2" x14ac:dyDescent="0.25">
      <c r="A37" t="s">
        <v>470</v>
      </c>
      <c r="B37" t="s">
        <v>405</v>
      </c>
    </row>
    <row r="38" spans="1:2" x14ac:dyDescent="0.25">
      <c r="A38" t="s">
        <v>475</v>
      </c>
      <c r="B38" t="s">
        <v>405</v>
      </c>
    </row>
    <row r="39" spans="1:2" x14ac:dyDescent="0.25">
      <c r="A39" t="s">
        <v>452</v>
      </c>
      <c r="B39" t="s">
        <v>405</v>
      </c>
    </row>
    <row r="40" spans="1:2" x14ac:dyDescent="0.25">
      <c r="A40" t="s">
        <v>596</v>
      </c>
      <c r="B40" t="s">
        <v>405</v>
      </c>
    </row>
    <row r="41" spans="1:2" x14ac:dyDescent="0.25">
      <c r="A41" t="s">
        <v>470</v>
      </c>
      <c r="B41" t="s">
        <v>405</v>
      </c>
    </row>
    <row r="42" spans="1:2" x14ac:dyDescent="0.25">
      <c r="A42" t="s">
        <v>485</v>
      </c>
      <c r="B42" t="s">
        <v>405</v>
      </c>
    </row>
    <row r="43" spans="1:2" x14ac:dyDescent="0.25">
      <c r="A43" t="s">
        <v>490</v>
      </c>
      <c r="B43" t="s">
        <v>405</v>
      </c>
    </row>
    <row r="44" spans="1:2" x14ac:dyDescent="0.25">
      <c r="A44" t="s">
        <v>521</v>
      </c>
      <c r="B44" t="s">
        <v>405</v>
      </c>
    </row>
    <row r="45" spans="1:2" x14ac:dyDescent="0.25">
      <c r="A45" t="s">
        <v>617</v>
      </c>
      <c r="B45" t="s">
        <v>405</v>
      </c>
    </row>
    <row r="46" spans="1:2" x14ac:dyDescent="0.25">
      <c r="A46" t="s">
        <v>507</v>
      </c>
      <c r="B46" t="s">
        <v>405</v>
      </c>
    </row>
    <row r="47" spans="1:2" x14ac:dyDescent="0.25">
      <c r="A47" t="s">
        <v>507</v>
      </c>
      <c r="B47" t="s">
        <v>405</v>
      </c>
    </row>
    <row r="48" spans="1:2" x14ac:dyDescent="0.25">
      <c r="A48" t="s">
        <v>475</v>
      </c>
      <c r="B48" t="s">
        <v>405</v>
      </c>
    </row>
    <row r="49" spans="1:2" x14ac:dyDescent="0.25">
      <c r="A49" t="s">
        <v>456</v>
      </c>
      <c r="B49" t="s">
        <v>405</v>
      </c>
    </row>
    <row r="50" spans="1:2" x14ac:dyDescent="0.25">
      <c r="A50" t="s">
        <v>638</v>
      </c>
      <c r="B50" t="s">
        <v>405</v>
      </c>
    </row>
    <row r="51" spans="1:2" x14ac:dyDescent="0.25">
      <c r="A51" t="s">
        <v>456</v>
      </c>
      <c r="B51" t="s">
        <v>405</v>
      </c>
    </row>
    <row r="52" spans="1:2" x14ac:dyDescent="0.25">
      <c r="A52" t="s">
        <v>461</v>
      </c>
      <c r="B52" t="s">
        <v>405</v>
      </c>
    </row>
    <row r="53" spans="1:2" x14ac:dyDescent="0.25">
      <c r="A53" t="s">
        <v>461</v>
      </c>
      <c r="B53" t="s">
        <v>405</v>
      </c>
    </row>
    <row r="54" spans="1:2" x14ac:dyDescent="0.25">
      <c r="A54" t="s">
        <v>650</v>
      </c>
      <c r="B54" t="s">
        <v>405</v>
      </c>
    </row>
    <row r="55" spans="1:2" x14ac:dyDescent="0.25">
      <c r="A55" t="s">
        <v>655</v>
      </c>
      <c r="B55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2023-05-25T02:55:08Z</cp:lastPrinted>
  <dcterms:created xsi:type="dcterms:W3CDTF">2022-06-23T22:24:49Z</dcterms:created>
  <dcterms:modified xsi:type="dcterms:W3CDTF">2023-05-25T02:59:25Z</dcterms:modified>
</cp:coreProperties>
</file>