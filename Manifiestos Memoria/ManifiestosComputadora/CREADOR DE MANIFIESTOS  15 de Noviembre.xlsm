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Documents\"/>
    </mc:Choice>
  </mc:AlternateContent>
  <bookViews>
    <workbookView xWindow="0" yWindow="0" windowWidth="11685" windowHeight="7620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<sst xmlns="http://schemas.openxmlformats.org/spreadsheetml/2006/main" count="791" uniqueCount="435">
  <si>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</si>
  <si>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</si>
  <si>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</si>
  <si>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</si>
  <si>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</si>
  <si>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</si>
  <si>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</si>
  <si>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</si>
  <si>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</si>
  <si>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</si>
  <si>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</si>
  <si>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</si>
  <si>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</si>
  <si>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</si>
  <si>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</si>
  <si>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</si>
  <si>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</si>
  <si>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</si>
  <si>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</si>
  <si>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</si>
  <si>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</si>
  <si>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</si>
  <si>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</si>
  <si>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</si>
  <si>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</si>
  <si>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</si>
  <si>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</si>
  <si>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</si>
  <si>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</si>
  <si>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</si>
  <si>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</si>
  <si>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</si>
  <si>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</si>
  <si>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</si>
  <si>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</si>
  <si>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</si>
  <si>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</si>
  <si>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</si>
  <si>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</si>
  <si>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</si>
  <si>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</si>
  <si>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</si>
  <si>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</si>
  <si>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</si>
  <si>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</si>
  <si>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</si>
  <si>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</si>
  <si>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</si>
  <si>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</si>
  <si>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</si>
  <si>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</si>
  <si>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</si>
  <si>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</si>
  <si>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</si>
  <si>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</si>
  <si>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</si>
  <si>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</si>
  <si>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</si>
  <si>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</si>
  <si>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</si>
  <si>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</si>
  <si>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</si>
  <si>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</si>
  <si>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</si>
  <si>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</si>
  <si>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</si>
  <si>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</si>
  <si>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</si>
  <si>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</si>
  <si>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</si>
  <si>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</si>
  <si>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</si>
  <si>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</si>
  <si>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</si>
  <si>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</si>
  <si>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</si>
  <si>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</si>
  <si>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</si>
  <si>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</si>
  <si>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</si>
  <si>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</si>
  <si>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</si>
  <si>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</si>
  <si>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</si>
  <si>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</si>
  <si>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</si>
  <si>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</si>
  <si>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</si>
  <si>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</si>
  <si>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</si>
  <si>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</si>
  <si>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</si>
  <si>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</si>
  <si>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</si>
  <si>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</si>
  <si>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</si>
  <si>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</si>
  <si>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</si>
  <si>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</si>
  <si>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</si>
  <si>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</si>
  <si>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</si>
  <si>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</si>
  <si>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</si>
  <si>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</si>
  <si>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</si>
  <si>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</si>
  <si>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</si>
  <si>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</si>
  <si>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</si>
  <si>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</si>
  <si>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</si>
  <si>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</si>
  <si>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</si>
  <si>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</si>
  <si>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</si>
  <si>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</si>
  <si>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</si>
  <si>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</si>
  <si>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</si>
  <si>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</si>
  <si>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</si>
  <si>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</si>
  <si>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</si>
  <si>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</si>
  <si>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</si>
  <si>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</si>
  <si>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</si>
  <si>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</si>
  <si>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</si>
  <si>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</si>
  <si>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</si>
  <si>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</si>
  <si>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</si>
  <si>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</si>
  <si>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</si>
  <si>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</si>
  <si>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</si>
  <si>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</si>
  <si>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</si>
  <si>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</si>
  <si>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</si>
  <si>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</si>
  <si>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</si>
  <si>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</si>
  <si>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</si>
  <si>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</si>
  <si>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</si>
  <si>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</si>
  <si>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</si>
  <si>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</si>
  <si>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</si>
  <si>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</si>
  <si>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</si>
  <si>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</si>
  <si>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</si>
  <si>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</si>
  <si>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</si>
  <si>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</si>
  <si>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</si>
  <si>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</si>
  <si>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</si>
  <si>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</si>
  <si>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</si>
  <si>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</si>
  <si>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</si>
  <si>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</si>
  <si>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</si>
  <si>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</si>
  <si>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</si>
  <si>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</si>
  <si>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</si>
  <si>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</si>
  <si>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</si>
  <si>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</si>
  <si>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</si>
  <si>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</si>
  <si>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</si>
  <si>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</si>
  <si>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</si>
  <si>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</si>
  <si>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</si>
  <si>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</si>
  <si>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</si>
  <si>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</si>
  <si>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</si>
  <si>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</si>
  <si>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</si>
  <si>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</si>
  <si>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</si>
  <si>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</si>
  <si>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</si>
  <si>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</si>
  <si>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</si>
  <si>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</si>
  <si>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</si>
  <si>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</si>
  <si>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</si>
  <si>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</si>
  <si>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</si>
  <si>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</si>
  <si>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</si>
  <si>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</si>
  <si>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</si>
  <si>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</si>
  <si>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</si>
  <si>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</si>
  <si>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</si>
  <si>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</si>
  <si>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</si>
  <si>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</si>
  <si>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</si>
  <si>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</si>
  <si>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</si>
  <si>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</si>
  <si>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</si>
  <si>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</si>
  <si>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</si>
  <si>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</si>
  <si>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</si>
  <si>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</si>
  <si>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</si>
  <si>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</si>
  <si>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</si>
  <si>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</si>
  <si>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</si>
  <si>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</si>
  <si>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</si>
  <si>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</si>
  <si>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</si>
  <si>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</si>
  <si>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</si>
  <si>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</si>
  <si>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</si>
  <si>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</si>
  <si>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</si>
  <si>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</si>
  <si>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</si>
  <si>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</si>
  <si>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</si>
  <si>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</si>
  <si>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</si>
  <si>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</si>
  <si>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</si>
  <si>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</si>
  <si>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</si>
  <si>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</si>
  <si>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</si>
  <si>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</si>
  <si>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</si>
  <si>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</si>
  <si>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</si>
  <si>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</si>
  <si>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</si>
  <si>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</si>
  <si>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</si>
  <si>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</si>
  <si>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</si>
  <si>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</si>
  <si>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</si>
  <si>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</si>
  <si>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</si>
  <si>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</si>
  <si>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</si>
  <si>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</si>
  <si>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</si>
  <si>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</si>
  <si>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</si>
  <si>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</si>
  <si>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</si>
  <si>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</si>
  <si>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</si>
  <si>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</si>
  <si>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</si>
  <si>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</si>
  <si>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</si>
  <si>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</si>
  <si>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</si>
  <si>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</si>
  <si>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</si>
  <si>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</si>
  <si>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</si>
  <si>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</si>
  <si>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</si>
  <si>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</si>
  <si>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</si>
  <si>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</si>
  <si>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</si>
  <si>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</si>
  <si>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</si>
  <si>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</si>
  <si>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</si>
  <si>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</si>
  <si>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</si>
  <si>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</si>
  <si>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</si>
  <si>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</si>
  <si>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</si>
  <si>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</si>
  <si>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</si>
  <si>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</si>
  <si>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</si>
  <si>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</si>
  <si>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</si>
  <si>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</si>
  <si>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</si>
  <si>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</si>
  <si>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</si>
  <si>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</si>
  <si>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</si>
  <si>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</si>
  <si>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</si>
  <si>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</si>
  <si>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</si>
  <si>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</si>
  <si>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</si>
  <si>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</si>
  <si>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</si>
  <si>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</si>
  <si>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</si>
  <si>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</si>
  <si>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</si>
  <si>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</si>
  <si>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</si>
  <si>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</si>
  <si>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</si>
  <si>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</si>
  <si>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</si>
  <si>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</si>
  <si>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</si>
  <si>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</si>
  <si>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</si>
  <si>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</si>
  <si>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</si>
  <si>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</si>
  <si>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</si>
  <si>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</si>
  <si>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</si>
  <si>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</si>
  <si>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</si>
  <si>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</si>
  <si>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</si>
  <si>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</si>
  <si>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</si>
  <si>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</si>
  <si>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</si>
  <si>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</si>
  <si>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</si>
  <si>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</si>
  <si>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</si>
  <si>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</si>
  <si>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</si>
  <si>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</si>
  <si>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</si>
  <si>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</si>
  <si>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</si>
  <si>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</si>
  <si>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</si>
  <si>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</si>
  <si>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</si>
  <si>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</si>
  <si>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</si>
  <si>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</si>
  <si>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</si>
  <si>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</si>
  <si>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</si>
  <si>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</si>
  <si>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</si>
  <si>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</si>
  <si>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</si>
  <si>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</si>
  <si>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</si>
  <si>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</si>
  <si>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</si>
  <si>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</si>
  <si>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</si>
  <si>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</si>
  <si>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</si>
  <si>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</si>
  <si>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</si>
  <si>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</si>
  <si>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</si>
  <si>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</si>
  <si>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</si>
  <si>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</si>
  <si>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</si>
  <si>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</si>
  <si>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</si>
  <si>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</si>
  <si>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</si>
  <si>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</si>
  <si>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</si>
  <si>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</si>
  <si>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</si>
  <si>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</si>
  <si>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</si>
  <si>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</si>
  <si>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</si>
  <si>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</si>
  <si>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</si>
  <si>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</si>
  <si>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</si>
  <si>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</si>
  <si>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</si>
  <si>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</si>
  <si>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</si>
  <si>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</si>
  <si>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</si>
  <si>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</si>
  <si>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</si>
  <si>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</si>
  <si>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</si>
  <si>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</si>
  <si>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</si>
  <si>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</si>
  <si>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</si>
  <si>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</si>
  <si>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</si>
  <si>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</si>
  <si>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</si>
  <si>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</si>
  <si>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</si>
  <si>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</si>
  <si>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</si>
  <si>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</si>
  <si>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</si>
  <si>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</si>
  <si>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</si>
  <si>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</si>
  <si>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 xml:space="preserve">LORENA </t>
  </si>
  <si>
    <t xml:space="preserve">ZAPATOS </t>
  </si>
  <si>
    <t>064M</t>
  </si>
  <si>
    <t xml:space="preserve">JAVIER RUIZ </t>
  </si>
  <si>
    <t xml:space="preserve">JORGE RUIZ </t>
  </si>
  <si>
    <t>202 - 30134414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</si>
</sst>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3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1" xfId="0" applyFont="1" applyBorder="1" applyAlignment="1" applyProtection="1">
      <protection hidden="1"/>
    </xf>
    <xf numFmtId="0" fontId="9" fillId="0" borderId="23" xfId="0" applyFont="1" applyBorder="1" applyAlignment="1" applyProtection="1">
      <alignment horizontal="right"/>
      <protection hidden="1"/>
    </xf>
    <xf numFmtId="0" fontId="10" fillId="0" borderId="24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5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0" xfId="0" applyFont="1" applyBorder="1" applyAlignment="1" applyProtection="1">
      <protection hidden="1"/>
    </xf>
    <xf numFmtId="0" fontId="8" fillId="0" borderId="39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5" xfId="0" applyFont="1" applyBorder="1" applyProtection="1"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7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6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3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1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4" fillId="0" borderId="14" xfId="0" applyFont="1" applyBorder="1" applyAlignment="1">
      <alignment vertical="center"/>
    </xf>
    <xf numFmtId="0" fontId="6" fillId="0" borderId="14" xfId="0" applyFont="1" applyBorder="1" applyAlignment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  <xf numFmtId="2" fontId="22" fillId="0" borderId="0" xfId="0" applyNumberFormat="1" applyFont="1" applyFill="1" applyBorder="1" applyAlignment="1">
      <alignment horizontal="left" vertical="center" wrapText="1"/>
    </xf>
    <xf numFmtId="0" fontId="16" fillId="0" borderId="31" xfId="0" applyFont="1" applyBorder="1" applyAlignment="1" applyProtection="1">
      <alignment horizontal="center" vertical="center" wrapText="1"/>
      <protection hidden="1"/>
    </xf>
    <xf numFmtId="0" fontId="16" fillId="0" borderId="26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0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5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2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8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4" fillId="0" borderId="14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6C6FE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abSelected="1" zoomScale="70" zoomScaleNormal="70" workbookViewId="0">
      <selection activeCell="C26" sqref="C26"/>
    </sheetView>
  </sheetViews>
  <sheetFormatPr baseColWidth="10" defaultColWidth="11.42578125" defaultRowHeight="14.25" x14ac:dyDescent="0.2"/>
  <cols>
    <col min="1" max="1" width="11.7109375" style="27" customWidth="1"/>
    <col min="2" max="2" width="11.85546875" style="27" customWidth="1"/>
    <col min="3" max="3" width="22" style="27" customWidth="1"/>
    <col min="4" max="4" width="8.5703125" style="27" customWidth="1"/>
    <col min="5" max="5" width="19.85546875" style="27" customWidth="1"/>
    <col min="6" max="6" width="21.85546875" style="27" customWidth="1"/>
    <col min="7" max="7" width="55" style="27" customWidth="1"/>
    <col min="8" max="8" width="17" style="27" customWidth="1"/>
    <col min="9" max="9" width="9.85546875" style="27" customWidth="1"/>
    <col min="10" max="10" width="10.28515625" style="27" customWidth="1"/>
    <col min="11" max="16384" width="11.42578125" style="27"/>
  </cols>
  <sheetData>
    <row r="1" spans="1:26" ht="25.5" customHeight="1" x14ac:dyDescent="0.4">
      <c r="A1" s="24" t="s">
        <v>5</v>
      </c>
      <c r="B1" s="117" t="s">
        <v>432</v>
      </c>
      <c r="C1" s="117"/>
      <c r="D1" s="117"/>
      <c r="E1" s="117"/>
      <c r="F1" s="25"/>
      <c r="G1" s="26">
        <v>33</v>
      </c>
      <c r="J1" s="27" t="s">
        <v>14</v>
      </c>
    </row>
    <row r="2" spans="1:26" ht="17.25" customHeight="1" x14ac:dyDescent="0.25">
      <c r="A2" s="28" t="s">
        <v>6</v>
      </c>
      <c r="B2" s="118" t="str">
        <f>VLOOKUP(I3,'Base de Datos'!J2:L195,2,FALSE)</f>
        <v>4TA. CALLE MERCADO POPTUN ZONA 1</v>
      </c>
      <c r="C2" s="118"/>
      <c r="D2" s="118"/>
      <c r="E2" s="118"/>
      <c r="F2" s="125" t="str">
        <f>VLOOKUP(I3,'Base de Datos'!J2:L195,3,FALSE)</f>
        <v>PETEN POPTUN - GUATEMALA</v>
      </c>
      <c r="G2" s="126"/>
      <c r="I2" s="29" t="s">
        <v>2</v>
      </c>
      <c r="J2" s="29" t="s">
        <v>112</v>
      </c>
      <c r="K2" s="30"/>
      <c r="L2" s="31"/>
      <c r="M2" s="32"/>
      <c r="N2" s="32"/>
    </row>
    <row r="3" spans="1:26" ht="18" x14ac:dyDescent="0.25">
      <c r="A3" s="28" t="s">
        <v>8</v>
      </c>
      <c r="B3" s="92" t="s">
        <v>433</v>
      </c>
      <c r="C3" s="92"/>
      <c r="D3" s="92"/>
      <c r="E3" s="92"/>
      <c r="F3" s="33"/>
      <c r="G3" s="34"/>
      <c r="I3" s="35">
        <v>60</v>
      </c>
      <c r="J3" s="35">
        <v>60</v>
      </c>
      <c r="K3" s="30"/>
      <c r="L3" s="36"/>
      <c r="M3" s="32"/>
      <c r="N3" s="32"/>
      <c r="X3" s="27">
        <v>3</v>
      </c>
    </row>
    <row r="4" spans="1:26" ht="18" x14ac:dyDescent="0.25">
      <c r="A4" s="37" t="s">
        <v>6</v>
      </c>
      <c r="B4" s="124" t="str">
        <f>VLOOKUP(J3,'Base de Datos'!A2:F95,2,FALSE)</f>
        <v>74 MAPLE AVE</v>
      </c>
      <c r="C4" s="124"/>
      <c r="D4" s="124" t="str">
        <f>VLOOKUP(J3,'Base de Datos'!A2:F95,3,FALSE)</f>
        <v>MOUNTKISCO</v>
      </c>
      <c r="E4" s="124"/>
      <c r="F4" s="38" t="str">
        <f>VLOOKUP(J3,'Base de Datos'!A2:F95,4,FALSE)</f>
        <v>NY</v>
      </c>
      <c r="G4" s="39">
        <f>VLOOKUP(J3,'Base de Datos'!A2:F95,5,FALSE)</f>
        <v>10509</v>
      </c>
      <c r="L4" s="32"/>
      <c r="M4" s="32"/>
      <c r="N4" s="32"/>
    </row>
    <row r="5" spans="1:26" ht="20.25" customHeight="1" x14ac:dyDescent="0.25">
      <c r="A5" s="37" t="s">
        <v>9</v>
      </c>
      <c r="B5" s="128">
        <v>9145773025</v>
      </c>
      <c r="C5" s="128"/>
      <c r="D5" s="125"/>
      <c r="E5" s="125"/>
      <c r="F5" s="40" t="s">
        <v>4</v>
      </c>
      <c r="G5" s="41">
        <f ca="1">TODAY()</f>
        <v>45245</v>
      </c>
      <c r="L5" s="32"/>
      <c r="M5" s="32"/>
      <c r="N5" s="32"/>
      <c r="Z5" s="42"/>
    </row>
    <row r="6" spans="1:26" ht="8.25" customHeight="1" x14ac:dyDescent="0.2">
      <c r="A6" s="37"/>
      <c r="B6" s="43"/>
      <c r="C6" s="43"/>
      <c r="D6" s="43"/>
      <c r="E6" s="43"/>
      <c r="F6" s="43"/>
      <c r="G6" s="44"/>
    </row>
    <row r="7" spans="1:26" ht="16.5" customHeight="1" x14ac:dyDescent="0.25">
      <c r="A7" s="122" t="s">
        <v>0</v>
      </c>
      <c r="B7" s="123"/>
      <c r="C7" s="123" t="s">
        <v>1</v>
      </c>
      <c r="D7" s="123"/>
      <c r="E7" s="123"/>
      <c r="F7" s="45" t="s">
        <v>10</v>
      </c>
      <c r="G7" s="46" t="s">
        <v>11</v>
      </c>
      <c r="J7" s="47"/>
      <c r="K7" s="47"/>
      <c r="L7" s="47"/>
    </row>
    <row r="8" spans="1:26" ht="15" customHeight="1" x14ac:dyDescent="0.2">
      <c r="A8" s="97" t="s">
        <v>23</v>
      </c>
      <c r="B8" s="98"/>
      <c r="C8" s="103" t="s">
        <v>430</v>
      </c>
      <c r="D8" s="104"/>
      <c r="E8" s="105"/>
      <c r="F8" s="94">
        <v>21</v>
      </c>
      <c r="G8" s="90" t="s">
        <v>431</v>
      </c>
      <c r="J8" s="47"/>
      <c r="K8" s="47"/>
      <c r="L8" s="47"/>
    </row>
    <row r="9" spans="1:26" ht="15" customHeight="1" x14ac:dyDescent="0.25">
      <c r="A9" s="99"/>
      <c r="B9" s="100"/>
      <c r="C9" s="106"/>
      <c r="D9" s="107"/>
      <c r="E9" s="108"/>
      <c r="F9" s="95"/>
      <c r="G9" s="91"/>
      <c r="I9" s="48"/>
      <c r="J9" s="47"/>
      <c r="K9" s="47"/>
      <c r="L9" s="47"/>
    </row>
    <row r="10" spans="1:26" ht="15" customHeight="1" x14ac:dyDescent="0.2">
      <c r="A10" s="99"/>
      <c r="B10" s="100"/>
      <c r="C10" s="106"/>
      <c r="D10" s="107"/>
      <c r="E10" s="108"/>
      <c r="F10" s="95"/>
      <c r="G10" s="91"/>
      <c r="I10" s="49"/>
      <c r="J10" s="47"/>
      <c r="K10" s="47"/>
      <c r="L10" s="47"/>
    </row>
    <row r="11" spans="1:26" ht="15" customHeight="1" x14ac:dyDescent="0.2">
      <c r="A11" s="99"/>
      <c r="B11" s="100"/>
      <c r="C11" s="106"/>
      <c r="D11" s="107"/>
      <c r="E11" s="108"/>
      <c r="F11" s="95"/>
      <c r="G11" s="91"/>
    </row>
    <row r="12" spans="1:26" ht="27" customHeight="1" x14ac:dyDescent="0.2">
      <c r="A12" s="99"/>
      <c r="B12" s="100"/>
      <c r="C12" s="106"/>
      <c r="D12" s="107"/>
      <c r="E12" s="108"/>
      <c r="F12" s="95" t="s">
        <v>13</v>
      </c>
      <c r="G12" s="91"/>
    </row>
    <row r="13" spans="1:26" ht="25.5" customHeight="1" x14ac:dyDescent="0.35">
      <c r="A13" s="101"/>
      <c r="B13" s="102"/>
      <c r="C13" s="109"/>
      <c r="D13" s="110"/>
      <c r="E13" s="111"/>
      <c r="F13" s="96"/>
      <c r="G13" s="50" t="s">
        <v>406</v>
      </c>
    </row>
    <row r="14" spans="1:26" ht="4.5" customHeight="1" x14ac:dyDescent="0.2">
      <c r="A14" s="51"/>
      <c r="B14" s="52"/>
      <c r="C14" s="52"/>
      <c r="D14" s="52"/>
      <c r="E14" s="52"/>
      <c r="F14" s="52"/>
      <c r="G14" s="53"/>
    </row>
    <row r="15" spans="1:26" ht="18" x14ac:dyDescent="0.25">
      <c r="A15" s="119" t="s">
        <v>3</v>
      </c>
      <c r="B15" s="120"/>
      <c r="C15" s="121" t="s">
        <v>429</v>
      </c>
      <c r="D15" s="121"/>
      <c r="E15" s="121"/>
      <c r="F15" s="54" t="s">
        <v>7</v>
      </c>
      <c r="G15" s="55" t="str">
        <f>F2</f>
        <v>PETEN POPTUN - GUATEMALA</v>
      </c>
      <c r="H15" s="49"/>
      <c r="I15" s="49"/>
    </row>
    <row r="16" spans="1:26" ht="9" customHeight="1" thickBot="1" x14ac:dyDescent="0.25">
      <c r="A16" s="56"/>
      <c r="B16" s="57"/>
      <c r="C16" s="57"/>
      <c r="D16" s="57"/>
      <c r="E16" s="57"/>
      <c r="F16" s="57"/>
      <c r="G16" s="58"/>
      <c r="H16" s="49"/>
    </row>
    <row r="17" spans="1:14" ht="20.25" customHeight="1" x14ac:dyDescent="0.2">
      <c r="A17" s="93" t="s">
        <v>12</v>
      </c>
      <c r="B17" s="93"/>
      <c r="C17" s="93"/>
      <c r="D17" s="93"/>
      <c r="E17" s="93"/>
      <c r="F17" s="93"/>
      <c r="G17" s="93"/>
      <c r="H17" s="49"/>
      <c r="J17" s="129" t="s">
        <v>407</v>
      </c>
      <c r="K17" s="129"/>
      <c r="L17" s="129"/>
      <c r="M17" s="129"/>
      <c r="N17" s="32"/>
    </row>
    <row r="18" spans="1:14" ht="11.25" customHeight="1" x14ac:dyDescent="0.2">
      <c r="A18" s="54"/>
      <c r="B18" s="54"/>
      <c r="C18" s="54"/>
      <c r="D18" s="54"/>
      <c r="E18" s="54"/>
      <c r="F18" s="54"/>
      <c r="G18" s="54"/>
      <c r="J18" s="129"/>
      <c r="K18" s="129"/>
      <c r="L18" s="129"/>
      <c r="M18" s="129"/>
      <c r="N18" s="32"/>
    </row>
    <row r="19" spans="1:14" ht="21.75" customHeight="1" x14ac:dyDescent="0.2">
      <c r="A19" s="59"/>
      <c r="B19" s="59"/>
      <c r="C19" s="59"/>
      <c r="D19" s="59"/>
      <c r="E19" s="59"/>
      <c r="F19" s="59"/>
      <c r="G19" s="59"/>
      <c r="J19" s="129"/>
      <c r="K19" s="129"/>
      <c r="L19" s="129"/>
      <c r="M19" s="129"/>
      <c r="N19" s="32"/>
    </row>
    <row r="20" spans="1:14" ht="15.75" customHeight="1" x14ac:dyDescent="0.2">
      <c r="A20" s="59"/>
      <c r="B20" s="59"/>
      <c r="C20" s="59"/>
      <c r="D20" s="59"/>
      <c r="E20" s="59"/>
      <c r="F20" s="59"/>
      <c r="G20" s="59"/>
    </row>
    <row r="21" spans="1:14" ht="18.75" customHeight="1" x14ac:dyDescent="0.2">
      <c r="A21" s="59"/>
      <c r="B21" s="59"/>
      <c r="C21" s="59"/>
      <c r="D21" s="59"/>
      <c r="E21" s="59" t="s">
        <v>318</v>
      </c>
      <c r="F21" s="59"/>
      <c r="G21" s="59"/>
      <c r="J21" s="127"/>
      <c r="K21" s="127"/>
      <c r="L21" s="127"/>
    </row>
    <row r="22" spans="1:14" ht="15.75" customHeight="1" x14ac:dyDescent="0.2">
      <c r="A22" s="59"/>
      <c r="B22" s="59"/>
      <c r="C22" s="59"/>
      <c r="D22" s="59"/>
      <c r="E22" s="59"/>
      <c r="F22" s="59"/>
      <c r="G22" s="59"/>
      <c r="J22" s="127"/>
      <c r="K22" s="127"/>
      <c r="L22" s="127"/>
    </row>
    <row r="23" spans="1:14" ht="21.75" customHeight="1" x14ac:dyDescent="0.2">
      <c r="A23" s="59"/>
      <c r="B23" s="59"/>
      <c r="C23" s="59"/>
      <c r="D23" s="59"/>
      <c r="E23" s="59"/>
      <c r="F23" s="59"/>
      <c r="G23" s="59"/>
      <c r="J23" s="127"/>
      <c r="K23" s="127"/>
      <c r="L23" s="127"/>
    </row>
    <row r="24" spans="1:14" x14ac:dyDescent="0.2">
      <c r="A24" s="59"/>
      <c r="B24" s="59"/>
      <c r="C24" s="59"/>
      <c r="D24" s="59"/>
      <c r="E24" s="59"/>
      <c r="F24" s="59"/>
      <c r="G24" s="59"/>
    </row>
    <row r="25" spans="1:14" ht="16.5" customHeight="1" x14ac:dyDescent="0.2">
      <c r="A25" s="59"/>
      <c r="B25" s="59"/>
      <c r="C25" s="59"/>
      <c r="D25" s="59"/>
      <c r="E25" s="59"/>
      <c r="F25" s="59"/>
      <c r="G25" s="59"/>
    </row>
    <row r="26" spans="1:14" ht="32.25" customHeight="1" x14ac:dyDescent="0.4">
      <c r="A26" s="59"/>
      <c r="B26" s="59"/>
      <c r="C26" s="59"/>
      <c r="D26" s="59"/>
      <c r="E26" s="59"/>
      <c r="F26" s="59"/>
      <c r="G26" s="59"/>
      <c r="I26" s="112" t="s">
        <v>321</v>
      </c>
      <c r="J26" s="113"/>
      <c r="K26" s="113"/>
      <c r="L26" s="114"/>
      <c r="M26" s="32"/>
      <c r="N26" s="32"/>
    </row>
    <row r="27" spans="1:14" ht="43.5" customHeight="1" x14ac:dyDescent="0.4">
      <c r="A27" s="59"/>
      <c r="B27" s="59"/>
      <c r="C27" s="59"/>
      <c r="D27" s="59"/>
      <c r="E27" s="59"/>
      <c r="F27" s="59"/>
      <c r="G27" s="59"/>
      <c r="I27" s="115">
        <f>SUM(Manifiesto!E3:E1048576)</f>
        <v>0</v>
      </c>
      <c r="J27" s="115"/>
      <c r="K27" s="115"/>
      <c r="L27" s="115"/>
      <c r="M27" s="32"/>
      <c r="N27" s="32"/>
    </row>
    <row r="28" spans="1:14" ht="15" customHeight="1" x14ac:dyDescent="0.2">
      <c r="A28" s="59"/>
      <c r="B28" s="59"/>
      <c r="C28" s="59"/>
      <c r="D28" s="59"/>
      <c r="E28" s="59"/>
      <c r="F28" s="59"/>
      <c r="G28" s="59"/>
      <c r="J28" s="32"/>
      <c r="K28" s="32"/>
      <c r="L28" s="32"/>
      <c r="M28" s="32"/>
      <c r="N28" s="32"/>
    </row>
    <row r="29" spans="1:14" ht="18.75" customHeight="1" x14ac:dyDescent="0.2">
      <c r="A29" s="59"/>
      <c r="B29" s="59"/>
      <c r="C29" s="59"/>
      <c r="D29" s="59"/>
      <c r="E29" s="59"/>
      <c r="F29" s="59"/>
      <c r="G29" s="59"/>
    </row>
    <row r="30" spans="1:14" ht="15" customHeight="1" x14ac:dyDescent="0.2">
      <c r="A30" s="59"/>
      <c r="B30" s="59"/>
      <c r="C30" s="59"/>
      <c r="D30" s="59"/>
      <c r="E30" s="59"/>
      <c r="F30" s="59"/>
      <c r="G30" s="59"/>
    </row>
    <row r="31" spans="1:14" ht="34.5" customHeight="1" x14ac:dyDescent="0.2">
      <c r="A31" s="59"/>
      <c r="B31" s="59"/>
      <c r="C31" s="59"/>
      <c r="D31" s="59"/>
      <c r="E31" s="59"/>
      <c r="F31" s="59"/>
      <c r="G31" s="59"/>
    </row>
    <row r="32" spans="1:14" ht="6" customHeight="1" x14ac:dyDescent="0.2">
      <c r="A32" s="59"/>
      <c r="B32" s="59"/>
      <c r="C32" s="59"/>
      <c r="D32" s="59"/>
      <c r="E32" s="59"/>
      <c r="F32" s="59"/>
      <c r="G32" s="59"/>
    </row>
    <row r="33" spans="1:7" ht="18.75" customHeight="1" x14ac:dyDescent="0.2">
      <c r="A33" s="59"/>
      <c r="B33" s="59"/>
      <c r="C33" s="59"/>
      <c r="D33" s="59"/>
      <c r="E33" s="59"/>
      <c r="F33" s="59"/>
      <c r="G33" s="59"/>
    </row>
    <row r="34" spans="1:7" x14ac:dyDescent="0.2">
      <c r="A34" s="49"/>
      <c r="B34" s="49"/>
      <c r="C34" s="49"/>
      <c r="D34" s="49"/>
      <c r="E34" s="49"/>
      <c r="F34" s="49"/>
      <c r="G34" s="49"/>
    </row>
    <row r="35" spans="1:7" x14ac:dyDescent="0.2">
      <c r="A35" s="116"/>
      <c r="B35" s="116"/>
      <c r="C35" s="116"/>
      <c r="D35" s="116"/>
      <c r="E35" s="116"/>
      <c r="F35" s="116"/>
      <c r="G35" s="116"/>
    </row>
    <row r="36" spans="1:7" ht="9" customHeight="1" x14ac:dyDescent="0.2">
      <c r="A36" s="49"/>
      <c r="B36" s="49"/>
      <c r="C36" s="49"/>
      <c r="D36" s="49"/>
      <c r="E36" s="49"/>
      <c r="F36" s="49"/>
      <c r="G36" s="49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H49" zoomScaleNormal="100" workbookViewId="0">
      <selection activeCell="L9" sqref="L9"/>
    </sheetView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t="s">
        <v>284</v>
      </c>
      <c r="L2" t="s">
        <v>276</v>
      </c>
      <c r="N2" s="9"/>
      <c r="O2" s="9"/>
      <c r="P2" s="9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t="s">
        <v>204</v>
      </c>
      <c r="L3" t="s">
        <v>271</v>
      </c>
      <c r="N3" s="9"/>
      <c r="O3" s="9"/>
      <c r="P3" s="9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t="s">
        <v>268</v>
      </c>
      <c r="L4" t="s">
        <v>275</v>
      </c>
      <c r="N4" s="9"/>
      <c r="O4" s="9"/>
      <c r="P4" s="9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t="s">
        <v>127</v>
      </c>
      <c r="L5" t="s">
        <v>269</v>
      </c>
      <c r="N5" s="9"/>
      <c r="O5" s="9"/>
      <c r="P5" s="9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t="s">
        <v>257</v>
      </c>
      <c r="L6" t="s">
        <v>274</v>
      </c>
      <c r="N6" s="9"/>
      <c r="O6" s="9"/>
      <c r="P6" s="9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t="s">
        <v>169</v>
      </c>
      <c r="L7" t="s">
        <v>163</v>
      </c>
      <c r="N7" s="9"/>
      <c r="O7" s="9"/>
      <c r="P7" s="9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t="s">
        <v>157</v>
      </c>
      <c r="L8" t="s">
        <v>270</v>
      </c>
      <c r="N8" s="9"/>
      <c r="O8" s="9"/>
      <c r="P8" s="9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t="s">
        <v>119</v>
      </c>
      <c r="L9" t="s">
        <v>269</v>
      </c>
      <c r="N9" s="9"/>
      <c r="O9" s="9"/>
      <c r="P9" s="9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t="s">
        <v>224</v>
      </c>
      <c r="L10" t="s">
        <v>272</v>
      </c>
      <c r="N10" s="9"/>
      <c r="O10" s="9"/>
      <c r="P10" s="9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t="s">
        <v>235</v>
      </c>
      <c r="L11" t="s">
        <v>273</v>
      </c>
      <c r="N11" s="9"/>
      <c r="O11" s="9"/>
      <c r="P11" s="9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t="s">
        <v>168</v>
      </c>
      <c r="L12" t="s">
        <v>163</v>
      </c>
      <c r="N12" s="9"/>
      <c r="O12" s="9"/>
      <c r="P12" s="9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t="s">
        <v>216</v>
      </c>
      <c r="L13" t="s">
        <v>272</v>
      </c>
      <c r="N13" s="9"/>
      <c r="O13" s="9"/>
      <c r="P13" s="9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t="s">
        <v>198</v>
      </c>
      <c r="L14" t="s">
        <v>271</v>
      </c>
      <c r="N14" s="9"/>
      <c r="O14" s="9"/>
      <c r="P14" s="9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t="s">
        <v>197</v>
      </c>
      <c r="L15" t="s">
        <v>271</v>
      </c>
      <c r="N15" s="9"/>
      <c r="O15" s="9"/>
      <c r="P15" s="9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t="s">
        <v>153</v>
      </c>
      <c r="L16" t="s">
        <v>270</v>
      </c>
      <c r="N16" s="9"/>
      <c r="O16" s="9"/>
      <c r="P16" s="9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t="s">
        <v>299</v>
      </c>
      <c r="L17" t="s">
        <v>271</v>
      </c>
      <c r="N17" s="9"/>
      <c r="O17" s="9"/>
      <c r="P17" s="9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t="s">
        <v>226</v>
      </c>
      <c r="L18" t="s">
        <v>272</v>
      </c>
      <c r="N18" s="9"/>
      <c r="O18" s="9"/>
      <c r="P18" s="9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t="s">
        <v>141</v>
      </c>
      <c r="L19" t="s">
        <v>270</v>
      </c>
      <c r="N19" s="9"/>
      <c r="O19" s="9"/>
      <c r="P19" s="9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t="s">
        <v>225</v>
      </c>
      <c r="L20" t="s">
        <v>272</v>
      </c>
      <c r="N20" s="9"/>
      <c r="O20" s="9"/>
      <c r="P20" s="9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t="s">
        <v>205</v>
      </c>
      <c r="L21" t="s">
        <v>271</v>
      </c>
      <c r="N21" s="9"/>
      <c r="O21" s="9"/>
      <c r="P21" s="9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t="s">
        <v>150</v>
      </c>
      <c r="L22" t="s">
        <v>270</v>
      </c>
      <c r="N22" s="9"/>
      <c r="O22" s="9"/>
      <c r="P22" s="9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t="s">
        <v>138</v>
      </c>
      <c r="L23" t="s">
        <v>270</v>
      </c>
      <c r="N23" s="9"/>
      <c r="O23" s="9"/>
      <c r="P23" s="9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t="s">
        <v>260</v>
      </c>
      <c r="L24" t="s">
        <v>275</v>
      </c>
      <c r="N24" s="9"/>
      <c r="O24" s="9"/>
      <c r="P24" s="9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t="s">
        <v>208</v>
      </c>
      <c r="L25" t="s">
        <v>271</v>
      </c>
      <c r="N25" s="9"/>
      <c r="O25" s="9"/>
      <c r="P25" s="9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t="s">
        <v>183</v>
      </c>
      <c r="L26" t="s">
        <v>113</v>
      </c>
      <c r="N26" s="9"/>
      <c r="O26" s="9"/>
      <c r="P26" s="9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t="s">
        <v>122</v>
      </c>
      <c r="L27" t="s">
        <v>269</v>
      </c>
      <c r="N27" s="9"/>
      <c r="O27" s="9"/>
      <c r="P27" s="9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t="s">
        <v>184</v>
      </c>
      <c r="L28" t="s">
        <v>113</v>
      </c>
      <c r="N28" s="9"/>
      <c r="O28" s="9"/>
      <c r="P28" s="9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t="s">
        <v>277</v>
      </c>
      <c r="L29" t="s">
        <v>276</v>
      </c>
      <c r="N29" s="9"/>
      <c r="O29" s="9"/>
      <c r="P29" s="9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t="s">
        <v>140</v>
      </c>
      <c r="L30" t="s">
        <v>270</v>
      </c>
      <c r="N30" s="9"/>
      <c r="O30" s="9"/>
      <c r="P30" s="9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t="s">
        <v>148</v>
      </c>
      <c r="L31" t="s">
        <v>270</v>
      </c>
      <c r="N31" s="9"/>
      <c r="O31" s="9"/>
      <c r="P31" s="9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t="s">
        <v>156</v>
      </c>
      <c r="L32" t="s">
        <v>270</v>
      </c>
      <c r="N32" s="9"/>
      <c r="O32" s="9"/>
      <c r="P32" s="9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t="s">
        <v>137</v>
      </c>
      <c r="L33" t="s">
        <v>269</v>
      </c>
      <c r="N33" s="9"/>
      <c r="O33" s="9"/>
      <c r="P33" s="9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t="s">
        <v>115</v>
      </c>
      <c r="L34" t="s">
        <v>269</v>
      </c>
      <c r="N34" s="9"/>
      <c r="O34" s="9"/>
      <c r="P34" s="9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t="s">
        <v>291</v>
      </c>
      <c r="L35" t="s">
        <v>286</v>
      </c>
      <c r="N35" s="9"/>
      <c r="O35" s="9"/>
      <c r="P35" s="9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t="s">
        <v>215</v>
      </c>
      <c r="L36" t="s">
        <v>272</v>
      </c>
      <c r="N36" s="9"/>
      <c r="O36" s="9"/>
      <c r="P36" s="9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t="s">
        <v>255</v>
      </c>
      <c r="L37" t="s">
        <v>274</v>
      </c>
      <c r="N37" s="9"/>
      <c r="O37" s="9"/>
      <c r="P37" s="9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t="s">
        <v>125</v>
      </c>
      <c r="L38" t="s">
        <v>269</v>
      </c>
      <c r="N38" s="9"/>
      <c r="O38" s="9"/>
      <c r="P38" s="9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t="s">
        <v>130</v>
      </c>
      <c r="L39" t="s">
        <v>269</v>
      </c>
      <c r="N39" s="9"/>
      <c r="O39" s="9"/>
      <c r="P39" s="9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t="s">
        <v>304</v>
      </c>
      <c r="L40" t="s">
        <v>269</v>
      </c>
      <c r="N40" s="9"/>
      <c r="O40" s="9"/>
      <c r="P40" s="9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t="s">
        <v>203</v>
      </c>
      <c r="L41" t="s">
        <v>271</v>
      </c>
      <c r="N41" s="9"/>
      <c r="O41" s="9"/>
      <c r="P41" s="9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t="s">
        <v>126</v>
      </c>
      <c r="L42" t="s">
        <v>269</v>
      </c>
      <c r="N42" s="9"/>
      <c r="O42" s="9"/>
      <c r="P42" s="9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t="s">
        <v>200</v>
      </c>
      <c r="L43" t="s">
        <v>271</v>
      </c>
      <c r="N43" s="9"/>
      <c r="O43" s="9"/>
      <c r="P43" s="9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t="s">
        <v>217</v>
      </c>
      <c r="L44" t="s">
        <v>272</v>
      </c>
      <c r="N44" s="9"/>
      <c r="O44" s="9"/>
      <c r="P44" s="9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t="s">
        <v>114</v>
      </c>
      <c r="L45" t="s">
        <v>269</v>
      </c>
      <c r="N45" s="9"/>
      <c r="O45" s="9"/>
      <c r="P45" s="9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t="s">
        <v>307</v>
      </c>
      <c r="L46" t="s">
        <v>269</v>
      </c>
      <c r="N46" s="9"/>
      <c r="O46" s="9"/>
      <c r="P46" s="9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t="s">
        <v>248</v>
      </c>
      <c r="L47" t="s">
        <v>274</v>
      </c>
      <c r="N47" s="9"/>
      <c r="O47" s="9"/>
      <c r="P47" s="9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t="s">
        <v>251</v>
      </c>
      <c r="L48" t="s">
        <v>274</v>
      </c>
      <c r="N48" s="9"/>
      <c r="O48" s="9"/>
      <c r="P48" s="9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t="s">
        <v>262</v>
      </c>
      <c r="L49" t="s">
        <v>275</v>
      </c>
      <c r="N49" s="9"/>
      <c r="O49" s="9"/>
      <c r="P49" s="9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t="s">
        <v>176</v>
      </c>
      <c r="L50" t="s">
        <v>163</v>
      </c>
      <c r="N50" s="9"/>
      <c r="O50" s="9"/>
      <c r="P50" s="9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t="s">
        <v>311</v>
      </c>
      <c r="L51" t="s">
        <v>269</v>
      </c>
      <c r="N51" s="9"/>
      <c r="O51" s="9"/>
      <c r="P51" s="9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t="s">
        <v>201</v>
      </c>
      <c r="L52" t="s">
        <v>271</v>
      </c>
      <c r="N52" s="9"/>
      <c r="O52" s="9"/>
      <c r="P52" s="9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t="s">
        <v>306</v>
      </c>
      <c r="L53" t="s">
        <v>269</v>
      </c>
      <c r="N53" s="9"/>
      <c r="O53" s="9"/>
      <c r="P53" s="9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t="s">
        <v>161</v>
      </c>
      <c r="L54" t="s">
        <v>270</v>
      </c>
      <c r="N54" s="9"/>
      <c r="O54" s="9"/>
      <c r="P54" s="9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t="s">
        <v>211</v>
      </c>
      <c r="L55" t="s">
        <v>271</v>
      </c>
      <c r="N55" s="9"/>
      <c r="O55" s="9"/>
      <c r="P55" s="9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t="s">
        <v>193</v>
      </c>
      <c r="L56" t="s">
        <v>113</v>
      </c>
      <c r="N56" s="9"/>
      <c r="O56" s="9"/>
      <c r="P56" s="9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t="s">
        <v>296</v>
      </c>
      <c r="L57" t="s">
        <v>286</v>
      </c>
      <c r="N57" s="9"/>
      <c r="O57" s="9"/>
      <c r="P57" s="9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t="s">
        <v>243</v>
      </c>
      <c r="L58" t="s">
        <v>273</v>
      </c>
      <c r="N58" s="9"/>
      <c r="O58" s="9"/>
      <c r="P58" s="9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t="s">
        <v>180</v>
      </c>
      <c r="L59" t="s">
        <v>276</v>
      </c>
      <c r="N59" s="9"/>
      <c r="O59" s="9"/>
      <c r="P59" s="9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t="s">
        <v>281</v>
      </c>
      <c r="L60" t="s">
        <v>276</v>
      </c>
      <c r="N60" s="9"/>
      <c r="O60" s="9"/>
      <c r="P60" s="9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t="s">
        <v>259</v>
      </c>
      <c r="L61" t="s">
        <v>275</v>
      </c>
      <c r="N61" s="9"/>
      <c r="O61" s="9"/>
      <c r="P61" s="9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t="s">
        <v>214</v>
      </c>
      <c r="L62" t="s">
        <v>272</v>
      </c>
      <c r="N62" s="9"/>
      <c r="O62" s="9"/>
      <c r="P62" s="9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t="s">
        <v>266</v>
      </c>
      <c r="L63" t="s">
        <v>275</v>
      </c>
      <c r="N63" s="9"/>
      <c r="O63" s="9"/>
      <c r="P63" s="9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t="s">
        <v>172</v>
      </c>
      <c r="L64" t="s">
        <v>163</v>
      </c>
      <c r="N64" s="9"/>
      <c r="O64" s="9"/>
      <c r="P64" s="9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t="s">
        <v>313</v>
      </c>
      <c r="L65" t="s">
        <v>269</v>
      </c>
      <c r="N65" s="9"/>
      <c r="O65" s="9"/>
      <c r="P65" s="9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t="s">
        <v>310</v>
      </c>
      <c r="L66" t="s">
        <v>269</v>
      </c>
      <c r="N66" s="9"/>
      <c r="O66" s="9"/>
      <c r="P66" s="9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95" si="1">((B67&amp;" "&amp;C67)&amp;" "&amp;D67)&amp;" "&amp;E67</f>
        <v>9 AVENUE A MOUNTKISCO NY 10549</v>
      </c>
      <c r="J67" s="7">
        <v>66</v>
      </c>
      <c r="K67" t="s">
        <v>131</v>
      </c>
      <c r="L67" t="s">
        <v>269</v>
      </c>
      <c r="N67" s="9"/>
      <c r="O67" s="9"/>
      <c r="P67" s="9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t="s">
        <v>116</v>
      </c>
      <c r="L68" t="s">
        <v>269</v>
      </c>
      <c r="N68" s="9"/>
      <c r="O68" s="9"/>
      <c r="P68" s="9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t="s">
        <v>190</v>
      </c>
      <c r="L69" t="s">
        <v>113</v>
      </c>
      <c r="N69" s="9"/>
      <c r="O69" s="9"/>
      <c r="P69" s="9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t="s">
        <v>300</v>
      </c>
      <c r="L70" t="s">
        <v>271</v>
      </c>
      <c r="N70" s="9"/>
      <c r="O70" s="9"/>
      <c r="P70" s="9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t="s">
        <v>312</v>
      </c>
      <c r="L71" t="s">
        <v>269</v>
      </c>
      <c r="N71" s="9"/>
      <c r="O71" s="9"/>
      <c r="P71" s="9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t="s">
        <v>186</v>
      </c>
      <c r="L72" t="s">
        <v>113</v>
      </c>
      <c r="N72" s="9"/>
      <c r="O72" s="9"/>
      <c r="P72" s="9"/>
    </row>
    <row r="73" spans="1:16" x14ac:dyDescent="0.25">
      <c r="A73">
        <v>72</v>
      </c>
      <c r="B73" t="s">
        <v>384</v>
      </c>
      <c r="C73" t="s">
        <v>39</v>
      </c>
      <c r="D73" t="s">
        <v>18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t="s">
        <v>142</v>
      </c>
      <c r="L73" t="s">
        <v>270</v>
      </c>
      <c r="N73" s="9"/>
      <c r="O73" s="9"/>
      <c r="P73" s="9"/>
    </row>
    <row r="74" spans="1:16" x14ac:dyDescent="0.25">
      <c r="A74">
        <v>73</v>
      </c>
      <c r="B74" t="s">
        <v>385</v>
      </c>
      <c r="C74" t="s">
        <v>28</v>
      </c>
      <c r="D74" t="s">
        <v>18</v>
      </c>
      <c r="E74">
        <v>10549</v>
      </c>
      <c r="F74">
        <v>5465166500</v>
      </c>
      <c r="G74" t="str">
        <f t="shared" si="1"/>
        <v>65 GROVE ST MOUNTKISCO NY 10549</v>
      </c>
      <c r="J74" s="7">
        <v>73</v>
      </c>
      <c r="K74" t="s">
        <v>189</v>
      </c>
      <c r="L74" t="s">
        <v>113</v>
      </c>
      <c r="N74" s="9"/>
      <c r="O74" s="9"/>
      <c r="P74" s="9"/>
    </row>
    <row r="75" spans="1:16" x14ac:dyDescent="0.25">
      <c r="A75">
        <v>74</v>
      </c>
      <c r="B75" t="s">
        <v>386</v>
      </c>
      <c r="C75" t="s">
        <v>37</v>
      </c>
      <c r="D75" t="s">
        <v>18</v>
      </c>
      <c r="E75">
        <v>10576</v>
      </c>
      <c r="F75" s="2">
        <f ca="1">RANDBETWEEN(1000000000,9999999999)</f>
        <v>4797561773</v>
      </c>
      <c r="G75" t="str">
        <f t="shared" si="1"/>
        <v>30 HONEY RD POUND ROAD NY 10576</v>
      </c>
      <c r="J75" s="7">
        <v>74</v>
      </c>
      <c r="K75" t="s">
        <v>182</v>
      </c>
      <c r="L75" t="s">
        <v>113</v>
      </c>
      <c r="N75" s="9"/>
      <c r="O75" s="9"/>
      <c r="P75" s="9"/>
    </row>
    <row r="76" spans="1:16" x14ac:dyDescent="0.25">
      <c r="A76">
        <v>75</v>
      </c>
      <c r="B76" t="s">
        <v>387</v>
      </c>
      <c r="C76" t="s">
        <v>50</v>
      </c>
      <c r="D76" t="s">
        <v>18</v>
      </c>
      <c r="E76">
        <v>10507</v>
      </c>
      <c r="F76" s="2">
        <f t="shared" ref="F76:F95" ca="1" si="2">RANDBETWEEN(1000000000,9999999999)</f>
        <v>6966924501</v>
      </c>
      <c r="G76" t="str">
        <f t="shared" si="1"/>
        <v>200 BARBIT RD BEDFORD HILLS NY 10507</v>
      </c>
      <c r="J76" s="7">
        <v>75</v>
      </c>
      <c r="K76" t="s">
        <v>180</v>
      </c>
      <c r="L76" t="s">
        <v>113</v>
      </c>
      <c r="N76" s="9"/>
      <c r="O76" s="9"/>
      <c r="P76" s="9"/>
    </row>
    <row r="77" spans="1:16" x14ac:dyDescent="0.25">
      <c r="A77">
        <v>76</v>
      </c>
      <c r="B77" t="s">
        <v>388</v>
      </c>
      <c r="C77" t="s">
        <v>64</v>
      </c>
      <c r="D77" t="s">
        <v>18</v>
      </c>
      <c r="E77">
        <v>10514</v>
      </c>
      <c r="F77" s="2">
        <f t="shared" ca="1" si="2"/>
        <v>4587513906</v>
      </c>
      <c r="G77" t="str">
        <f t="shared" si="1"/>
        <v>260 PINES LN CHAPQUA NY 10514</v>
      </c>
      <c r="J77" s="7">
        <v>76</v>
      </c>
      <c r="K77" t="s">
        <v>261</v>
      </c>
      <c r="L77" t="s">
        <v>275</v>
      </c>
      <c r="N77" s="9"/>
      <c r="O77" s="9"/>
      <c r="P77" s="9"/>
    </row>
    <row r="78" spans="1:16" x14ac:dyDescent="0.25">
      <c r="A78">
        <v>77</v>
      </c>
      <c r="B78" t="s">
        <v>389</v>
      </c>
      <c r="C78" t="s">
        <v>50</v>
      </c>
      <c r="D78" t="s">
        <v>18</v>
      </c>
      <c r="E78">
        <v>10507</v>
      </c>
      <c r="F78" s="2">
        <f t="shared" ca="1" si="2"/>
        <v>5622755842</v>
      </c>
      <c r="G78" t="str">
        <f t="shared" si="1"/>
        <v>126 ROME AVE BEDFORD HILLS NY 10507</v>
      </c>
      <c r="J78" s="7">
        <v>77</v>
      </c>
      <c r="K78" t="s">
        <v>171</v>
      </c>
      <c r="L78" t="s">
        <v>163</v>
      </c>
      <c r="N78" s="9"/>
      <c r="O78" s="9"/>
      <c r="P78" s="9"/>
    </row>
    <row r="79" spans="1:16" x14ac:dyDescent="0.25">
      <c r="A79">
        <v>78</v>
      </c>
      <c r="B79" t="s">
        <v>390</v>
      </c>
      <c r="C79" t="s">
        <v>50</v>
      </c>
      <c r="D79" t="s">
        <v>18</v>
      </c>
      <c r="E79">
        <v>10549</v>
      </c>
      <c r="F79" s="2">
        <f t="shared" ca="1" si="2"/>
        <v>4629358637</v>
      </c>
      <c r="G79" t="str">
        <f t="shared" si="1"/>
        <v>70 MILAN AVE BEDFORD HILLS NY 10549</v>
      </c>
      <c r="J79" s="7">
        <v>78</v>
      </c>
      <c r="K79" t="s">
        <v>228</v>
      </c>
      <c r="L79" t="s">
        <v>272</v>
      </c>
      <c r="N79" s="9"/>
      <c r="O79" s="9"/>
      <c r="P79" s="9"/>
    </row>
    <row r="80" spans="1:16" x14ac:dyDescent="0.25">
      <c r="A80">
        <v>79</v>
      </c>
      <c r="B80" t="s">
        <v>391</v>
      </c>
      <c r="C80" t="s">
        <v>28</v>
      </c>
      <c r="D80" t="s">
        <v>18</v>
      </c>
      <c r="E80">
        <v>10549</v>
      </c>
      <c r="F80" s="2">
        <f t="shared" ca="1" si="2"/>
        <v>4827734350</v>
      </c>
      <c r="G80" t="str">
        <f t="shared" si="1"/>
        <v>40 DIPLOMAT DR MOUNTKISCO NY 10549</v>
      </c>
      <c r="J80" s="7">
        <v>79</v>
      </c>
      <c r="K80" t="s">
        <v>136</v>
      </c>
      <c r="L80" t="s">
        <v>269</v>
      </c>
      <c r="N80" s="9"/>
      <c r="O80" s="9"/>
      <c r="P80" s="9"/>
    </row>
    <row r="81" spans="1:16" x14ac:dyDescent="0.25">
      <c r="A81">
        <v>80</v>
      </c>
      <c r="B81" t="s">
        <v>392</v>
      </c>
      <c r="C81" t="s">
        <v>22</v>
      </c>
      <c r="D81" t="s">
        <v>18</v>
      </c>
      <c r="E81">
        <v>10080</v>
      </c>
      <c r="F81" s="2">
        <f t="shared" ca="1" si="2"/>
        <v>1005172639</v>
      </c>
      <c r="G81" t="str">
        <f t="shared" si="1"/>
        <v>311 MAPPLE ST NEW YORK HILLS NY 10080</v>
      </c>
      <c r="J81" s="5">
        <v>80</v>
      </c>
      <c r="K81" t="s">
        <v>191</v>
      </c>
      <c r="L81" t="s">
        <v>113</v>
      </c>
      <c r="N81" s="9"/>
      <c r="O81" s="9"/>
      <c r="P81" s="9"/>
    </row>
    <row r="82" spans="1:16" x14ac:dyDescent="0.25">
      <c r="A82">
        <v>81</v>
      </c>
      <c r="B82" t="s">
        <v>393</v>
      </c>
      <c r="C82" t="s">
        <v>26</v>
      </c>
      <c r="D82" t="s">
        <v>18</v>
      </c>
      <c r="E82">
        <v>10549</v>
      </c>
      <c r="F82" s="2">
        <f t="shared" ca="1" si="2"/>
        <v>6163096085</v>
      </c>
      <c r="G82" t="str">
        <f t="shared" si="1"/>
        <v>35 MAIN ST BREWSTER NY 10549</v>
      </c>
      <c r="J82" s="5">
        <v>81</v>
      </c>
      <c r="K82" t="s">
        <v>236</v>
      </c>
      <c r="L82" t="s">
        <v>273</v>
      </c>
      <c r="N82" s="9"/>
      <c r="O82" s="9"/>
      <c r="P82" s="9"/>
    </row>
    <row r="83" spans="1:16" x14ac:dyDescent="0.25">
      <c r="A83">
        <v>82</v>
      </c>
      <c r="B83" t="s">
        <v>394</v>
      </c>
      <c r="C83" t="s">
        <v>395</v>
      </c>
      <c r="D83" t="s">
        <v>396</v>
      </c>
      <c r="E83">
        <v>70053</v>
      </c>
      <c r="F83" s="2">
        <f t="shared" ca="1" si="2"/>
        <v>4610521712</v>
      </c>
      <c r="G83" t="str">
        <f t="shared" si="1"/>
        <v>708 HURST BLVD HURST FX 70053</v>
      </c>
      <c r="J83" s="5">
        <v>82</v>
      </c>
      <c r="K83" t="s">
        <v>151</v>
      </c>
      <c r="L83" t="s">
        <v>270</v>
      </c>
      <c r="N83" s="9"/>
      <c r="O83" s="9"/>
      <c r="P83" s="9"/>
    </row>
    <row r="84" spans="1:16" x14ac:dyDescent="0.25">
      <c r="A84">
        <v>83</v>
      </c>
      <c r="B84" t="s">
        <v>397</v>
      </c>
      <c r="C84" t="s">
        <v>398</v>
      </c>
      <c r="D84" t="s">
        <v>399</v>
      </c>
      <c r="E84">
        <v>36824</v>
      </c>
      <c r="F84" s="2">
        <f t="shared" ca="1" si="2"/>
        <v>2210987342</v>
      </c>
      <c r="G84" t="str">
        <f t="shared" si="1"/>
        <v>824 SUDNEY ST VALLEY AL 36824</v>
      </c>
      <c r="J84" s="5">
        <v>83</v>
      </c>
      <c r="K84" t="s">
        <v>123</v>
      </c>
      <c r="L84" t="s">
        <v>269</v>
      </c>
      <c r="N84" s="9"/>
      <c r="O84" s="9"/>
      <c r="P84" s="9"/>
    </row>
    <row r="85" spans="1:16" x14ac:dyDescent="0.25">
      <c r="A85">
        <v>84</v>
      </c>
      <c r="B85" t="s">
        <v>400</v>
      </c>
      <c r="C85" t="s">
        <v>401</v>
      </c>
      <c r="D85" t="s">
        <v>402</v>
      </c>
      <c r="E85">
        <v>18020</v>
      </c>
      <c r="F85" s="2">
        <f t="shared" ca="1" si="2"/>
        <v>3563384106</v>
      </c>
      <c r="G85" t="str">
        <f t="shared" si="1"/>
        <v>2124 JOHNSTON DR. APT 10 BETHLEHEM PA 18020</v>
      </c>
      <c r="J85" s="5">
        <v>84</v>
      </c>
      <c r="K85" t="s">
        <v>121</v>
      </c>
      <c r="L85" t="s">
        <v>269</v>
      </c>
      <c r="N85" s="9"/>
      <c r="O85" s="9"/>
      <c r="P85" s="9"/>
    </row>
    <row r="86" spans="1:16" x14ac:dyDescent="0.25">
      <c r="A86">
        <v>85</v>
      </c>
      <c r="B86" t="s">
        <v>403</v>
      </c>
      <c r="C86" t="s">
        <v>404</v>
      </c>
      <c r="D86" t="s">
        <v>405</v>
      </c>
      <c r="E86">
        <v>91401</v>
      </c>
      <c r="F86" s="2">
        <f t="shared" ca="1" si="2"/>
        <v>6039761450</v>
      </c>
      <c r="G86" t="str">
        <f t="shared" si="1"/>
        <v>13357 BURBANK BLV APT 6 VANNVYS CA 91401</v>
      </c>
      <c r="J86" s="5">
        <v>85</v>
      </c>
      <c r="K86" t="s">
        <v>282</v>
      </c>
      <c r="L86" t="s">
        <v>276</v>
      </c>
      <c r="N86" s="9"/>
      <c r="O86" s="9"/>
      <c r="P86" s="9"/>
    </row>
    <row r="87" spans="1:16" x14ac:dyDescent="0.25">
      <c r="A87">
        <v>86</v>
      </c>
      <c r="B87" t="s">
        <v>410</v>
      </c>
      <c r="C87" t="s">
        <v>28</v>
      </c>
      <c r="D87" t="s">
        <v>18</v>
      </c>
      <c r="E87">
        <v>10544</v>
      </c>
      <c r="F87" s="2">
        <f t="shared" ca="1" si="2"/>
        <v>7494998563</v>
      </c>
      <c r="G87" t="str">
        <f t="shared" si="1"/>
        <v>177 LEXINGTON AVE MOUNTKISCO NY 10544</v>
      </c>
      <c r="J87" s="5">
        <v>86</v>
      </c>
      <c r="K87" t="s">
        <v>250</v>
      </c>
      <c r="L87" t="s">
        <v>274</v>
      </c>
      <c r="N87" s="9"/>
      <c r="O87" s="9"/>
      <c r="P87" s="9"/>
    </row>
    <row r="88" spans="1:16" x14ac:dyDescent="0.25">
      <c r="A88">
        <v>87</v>
      </c>
      <c r="B88" t="s">
        <v>412</v>
      </c>
      <c r="C88" t="s">
        <v>26</v>
      </c>
      <c r="D88" t="s">
        <v>18</v>
      </c>
      <c r="E88">
        <v>10509</v>
      </c>
      <c r="F88" s="2">
        <f t="shared" ca="1" si="2"/>
        <v>5110817278</v>
      </c>
      <c r="G88" t="str">
        <f t="shared" si="1"/>
        <v>992 ROUTE 22 BREWSTER NY 10509</v>
      </c>
      <c r="J88" s="5">
        <v>87</v>
      </c>
      <c r="K88" t="s">
        <v>209</v>
      </c>
      <c r="L88" t="s">
        <v>271</v>
      </c>
      <c r="N88" s="9"/>
      <c r="O88" s="9"/>
      <c r="P88" s="9"/>
    </row>
    <row r="89" spans="1:16" x14ac:dyDescent="0.25">
      <c r="A89">
        <v>88</v>
      </c>
      <c r="B89" t="s">
        <v>413</v>
      </c>
      <c r="C89" t="s">
        <v>411</v>
      </c>
      <c r="D89" t="s">
        <v>18</v>
      </c>
      <c r="E89">
        <v>10562</v>
      </c>
      <c r="F89" s="2">
        <f t="shared" ca="1" si="2"/>
        <v>2754941424</v>
      </c>
      <c r="G89" t="str">
        <f t="shared" si="1"/>
        <v>62 N HIGHLAND AVE OSSINING NY 10562</v>
      </c>
      <c r="J89" s="5">
        <v>88</v>
      </c>
      <c r="K89" t="s">
        <v>301</v>
      </c>
      <c r="L89" t="s">
        <v>269</v>
      </c>
      <c r="N89" s="9"/>
      <c r="O89" s="9"/>
      <c r="P89" s="9"/>
    </row>
    <row r="90" spans="1:16" x14ac:dyDescent="0.25">
      <c r="A90">
        <v>89</v>
      </c>
      <c r="B90" t="s">
        <v>414</v>
      </c>
      <c r="C90" t="s">
        <v>415</v>
      </c>
      <c r="D90" t="s">
        <v>18</v>
      </c>
      <c r="E90">
        <v>12401</v>
      </c>
      <c r="F90" s="2">
        <f t="shared" ca="1" si="2"/>
        <v>3064084460</v>
      </c>
      <c r="G90" t="str">
        <f t="shared" si="1"/>
        <v>686 BRADWAY KINGSTON NY 12401</v>
      </c>
      <c r="J90" s="5">
        <v>89</v>
      </c>
      <c r="K90" t="s">
        <v>207</v>
      </c>
      <c r="L90" t="s">
        <v>271</v>
      </c>
      <c r="N90" s="9"/>
      <c r="O90" s="9"/>
      <c r="P90" s="9"/>
    </row>
    <row r="91" spans="1:16" x14ac:dyDescent="0.25">
      <c r="A91">
        <v>90</v>
      </c>
      <c r="B91" t="s">
        <v>416</v>
      </c>
      <c r="C91" t="s">
        <v>417</v>
      </c>
      <c r="D91" t="s">
        <v>18</v>
      </c>
      <c r="E91" s="84" t="s">
        <v>427</v>
      </c>
      <c r="F91" s="2">
        <f t="shared" ca="1" si="2"/>
        <v>9871642825</v>
      </c>
      <c r="G91" t="str">
        <f t="shared" si="1"/>
        <v>359 SOMERSET ST NORTH PLAINFIELD (NJ) NY 07060</v>
      </c>
      <c r="J91" s="5">
        <v>90</v>
      </c>
      <c r="K91" t="s">
        <v>144</v>
      </c>
      <c r="L91" t="s">
        <v>270</v>
      </c>
      <c r="N91" s="9"/>
      <c r="O91" s="9"/>
      <c r="P91" s="9"/>
    </row>
    <row r="92" spans="1:16" x14ac:dyDescent="0.25">
      <c r="A92">
        <v>91</v>
      </c>
      <c r="B92" t="s">
        <v>419</v>
      </c>
      <c r="C92" t="s">
        <v>418</v>
      </c>
      <c r="D92" t="s">
        <v>18</v>
      </c>
      <c r="E92">
        <v>10977</v>
      </c>
      <c r="F92" s="2">
        <f t="shared" ca="1" si="2"/>
        <v>6646474427</v>
      </c>
      <c r="G92" t="str">
        <f t="shared" si="1"/>
        <v>28 S MAIN ST SPRING VALLEY NY 10977</v>
      </c>
      <c r="J92" s="5">
        <v>91</v>
      </c>
      <c r="K92" t="s">
        <v>254</v>
      </c>
      <c r="L92" t="s">
        <v>274</v>
      </c>
      <c r="N92" s="9"/>
      <c r="O92" s="9"/>
      <c r="P92" s="9"/>
    </row>
    <row r="93" spans="1:16" x14ac:dyDescent="0.25">
      <c r="A93">
        <v>92</v>
      </c>
      <c r="B93" t="s">
        <v>421</v>
      </c>
      <c r="C93" t="s">
        <v>420</v>
      </c>
      <c r="D93" t="s">
        <v>18</v>
      </c>
      <c r="E93">
        <v>11520</v>
      </c>
      <c r="F93" s="2">
        <f t="shared" ca="1" si="2"/>
        <v>5088639435</v>
      </c>
      <c r="G93" t="str">
        <f t="shared" si="1"/>
        <v>282 N MAIN ST FREEPORT NY 11520</v>
      </c>
      <c r="J93" s="5">
        <v>92</v>
      </c>
      <c r="K93" t="s">
        <v>143</v>
      </c>
      <c r="L93" t="s">
        <v>270</v>
      </c>
      <c r="N93" s="9"/>
      <c r="O93" s="9"/>
      <c r="P93" s="9"/>
    </row>
    <row r="94" spans="1:16" x14ac:dyDescent="0.25">
      <c r="A94">
        <v>93</v>
      </c>
      <c r="B94" t="s">
        <v>422</v>
      </c>
      <c r="C94" t="s">
        <v>423</v>
      </c>
      <c r="D94" t="s">
        <v>18</v>
      </c>
      <c r="E94">
        <v>10566</v>
      </c>
      <c r="F94" s="2">
        <f t="shared" ca="1" si="2"/>
        <v>5412237857</v>
      </c>
      <c r="G94" t="str">
        <f t="shared" si="1"/>
        <v>901 MAIN ST, 800 PEEKSKILL NY 10566</v>
      </c>
      <c r="J94" s="5">
        <v>93</v>
      </c>
      <c r="K94" t="s">
        <v>154</v>
      </c>
      <c r="L94" t="s">
        <v>270</v>
      </c>
      <c r="N94" s="9"/>
      <c r="O94" s="9"/>
      <c r="P94" s="9"/>
    </row>
    <row r="95" spans="1:16" x14ac:dyDescent="0.25">
      <c r="A95">
        <v>94</v>
      </c>
      <c r="B95" t="s">
        <v>424</v>
      </c>
      <c r="C95" t="s">
        <v>425</v>
      </c>
      <c r="D95" t="s">
        <v>426</v>
      </c>
      <c r="E95" s="84" t="s">
        <v>428</v>
      </c>
      <c r="F95" s="2">
        <f t="shared" ca="1" si="2"/>
        <v>4447810623</v>
      </c>
      <c r="G95" t="str">
        <f t="shared" si="1"/>
        <v>24 ELM ST DANBURY CT 06810</v>
      </c>
      <c r="J95" s="5">
        <v>94</v>
      </c>
      <c r="K95" t="s">
        <v>263</v>
      </c>
      <c r="L95" t="s">
        <v>275</v>
      </c>
      <c r="N95" s="9"/>
      <c r="O95" s="9"/>
      <c r="P95" s="9"/>
    </row>
    <row r="96" spans="1:16" x14ac:dyDescent="0.25">
      <c r="J96" s="10">
        <v>95</v>
      </c>
      <c r="K96" t="s">
        <v>145</v>
      </c>
      <c r="L96" t="s">
        <v>270</v>
      </c>
      <c r="N96" s="9"/>
      <c r="O96" s="9"/>
      <c r="P96" s="9"/>
    </row>
    <row r="97" spans="10:16" x14ac:dyDescent="0.25">
      <c r="J97" s="10">
        <v>96</v>
      </c>
      <c r="K97" t="s">
        <v>285</v>
      </c>
      <c r="L97" t="s">
        <v>276</v>
      </c>
      <c r="N97" s="9"/>
      <c r="O97" s="9"/>
      <c r="P97" s="9"/>
    </row>
    <row r="98" spans="10:16" x14ac:dyDescent="0.25">
      <c r="J98" s="10">
        <v>97</v>
      </c>
      <c r="K98" t="s">
        <v>279</v>
      </c>
      <c r="L98" t="s">
        <v>276</v>
      </c>
      <c r="N98" s="9"/>
      <c r="O98" s="9"/>
      <c r="P98" s="9"/>
    </row>
    <row r="99" spans="10:16" x14ac:dyDescent="0.25">
      <c r="J99" s="10">
        <v>98</v>
      </c>
      <c r="K99" t="s">
        <v>227</v>
      </c>
      <c r="L99" t="s">
        <v>272</v>
      </c>
      <c r="N99" s="9"/>
      <c r="O99" s="9"/>
      <c r="P99" s="9"/>
    </row>
    <row r="100" spans="10:16" x14ac:dyDescent="0.25">
      <c r="J100" s="10">
        <v>99</v>
      </c>
      <c r="K100" t="s">
        <v>303</v>
      </c>
      <c r="L100" t="s">
        <v>269</v>
      </c>
      <c r="N100" s="9"/>
      <c r="O100" s="9"/>
      <c r="P100" s="9"/>
    </row>
    <row r="101" spans="10:16" x14ac:dyDescent="0.25">
      <c r="J101" s="10">
        <v>100</v>
      </c>
      <c r="K101" t="s">
        <v>221</v>
      </c>
      <c r="L101" t="s">
        <v>272</v>
      </c>
      <c r="N101" s="9"/>
      <c r="O101" s="9"/>
      <c r="P101" s="9"/>
    </row>
    <row r="102" spans="10:16" x14ac:dyDescent="0.25">
      <c r="J102" s="10">
        <v>101</v>
      </c>
      <c r="K102" t="s">
        <v>292</v>
      </c>
      <c r="L102" t="s">
        <v>286</v>
      </c>
      <c r="N102" s="9"/>
      <c r="O102" s="9"/>
      <c r="P102" s="9"/>
    </row>
    <row r="103" spans="10:16" x14ac:dyDescent="0.25">
      <c r="J103" s="10">
        <v>102</v>
      </c>
      <c r="K103" t="s">
        <v>206</v>
      </c>
      <c r="L103" t="s">
        <v>271</v>
      </c>
      <c r="N103" s="9"/>
      <c r="O103" s="9"/>
      <c r="P103" s="9"/>
    </row>
    <row r="104" spans="10:16" x14ac:dyDescent="0.25">
      <c r="J104" s="10">
        <v>103</v>
      </c>
      <c r="K104" t="s">
        <v>288</v>
      </c>
      <c r="L104" t="s">
        <v>286</v>
      </c>
      <c r="N104" s="9"/>
      <c r="O104" s="9"/>
      <c r="P104" s="9"/>
    </row>
    <row r="105" spans="10:16" x14ac:dyDescent="0.25">
      <c r="J105" s="10">
        <v>104</v>
      </c>
      <c r="K105" t="s">
        <v>132</v>
      </c>
      <c r="L105" t="s">
        <v>269</v>
      </c>
      <c r="N105" s="9"/>
      <c r="O105" s="9"/>
      <c r="P105" s="9"/>
    </row>
    <row r="106" spans="10:16" x14ac:dyDescent="0.25">
      <c r="J106" s="10">
        <v>105</v>
      </c>
      <c r="K106" t="s">
        <v>222</v>
      </c>
      <c r="L106" t="s">
        <v>272</v>
      </c>
      <c r="N106" s="9"/>
      <c r="O106" s="9"/>
      <c r="P106" s="9"/>
    </row>
    <row r="107" spans="10:16" x14ac:dyDescent="0.25">
      <c r="J107" s="10">
        <v>106</v>
      </c>
      <c r="K107" t="s">
        <v>264</v>
      </c>
      <c r="L107" t="s">
        <v>275</v>
      </c>
      <c r="N107" s="9"/>
      <c r="O107" s="9"/>
      <c r="P107" s="9"/>
    </row>
    <row r="108" spans="10:16" x14ac:dyDescent="0.25">
      <c r="J108" s="10">
        <v>107</v>
      </c>
      <c r="K108" t="s">
        <v>212</v>
      </c>
      <c r="L108" t="s">
        <v>272</v>
      </c>
      <c r="N108" s="9"/>
      <c r="O108" s="9"/>
      <c r="P108" s="9"/>
    </row>
    <row r="109" spans="10:16" x14ac:dyDescent="0.25">
      <c r="J109" s="10">
        <v>108</v>
      </c>
      <c r="K109" t="s">
        <v>170</v>
      </c>
      <c r="L109" t="s">
        <v>163</v>
      </c>
      <c r="N109" s="9"/>
      <c r="O109" s="9"/>
      <c r="P109" s="9"/>
    </row>
    <row r="110" spans="10:16" x14ac:dyDescent="0.25">
      <c r="J110" s="10">
        <v>109</v>
      </c>
      <c r="K110" t="s">
        <v>249</v>
      </c>
      <c r="L110" t="s">
        <v>274</v>
      </c>
      <c r="N110" s="9"/>
      <c r="O110" s="9"/>
      <c r="P110" s="9"/>
    </row>
    <row r="111" spans="10:16" x14ac:dyDescent="0.25">
      <c r="J111" s="10">
        <v>110</v>
      </c>
      <c r="K111" t="s">
        <v>210</v>
      </c>
      <c r="L111" t="s">
        <v>271</v>
      </c>
      <c r="N111" s="9"/>
      <c r="O111" s="9"/>
      <c r="P111" s="9"/>
    </row>
    <row r="112" spans="10:16" x14ac:dyDescent="0.25">
      <c r="J112" s="10">
        <v>111</v>
      </c>
      <c r="K112" t="s">
        <v>133</v>
      </c>
      <c r="L112" t="s">
        <v>269</v>
      </c>
      <c r="N112" s="9"/>
      <c r="O112" s="9"/>
      <c r="P112" s="9"/>
    </row>
    <row r="113" spans="10:16" x14ac:dyDescent="0.25">
      <c r="J113" s="10">
        <v>112</v>
      </c>
      <c r="K113" t="s">
        <v>118</v>
      </c>
      <c r="L113" t="s">
        <v>269</v>
      </c>
      <c r="N113" s="9"/>
      <c r="O113" s="9"/>
      <c r="P113" s="9"/>
    </row>
    <row r="114" spans="10:16" x14ac:dyDescent="0.25">
      <c r="J114" s="10">
        <v>113</v>
      </c>
      <c r="K114" t="s">
        <v>220</v>
      </c>
      <c r="L114" t="s">
        <v>272</v>
      </c>
      <c r="N114" s="9"/>
      <c r="O114" s="9"/>
      <c r="P114" s="9"/>
    </row>
    <row r="115" spans="10:16" x14ac:dyDescent="0.25">
      <c r="J115" s="10">
        <v>114</v>
      </c>
      <c r="K115" t="s">
        <v>287</v>
      </c>
      <c r="L115" t="s">
        <v>286</v>
      </c>
      <c r="N115" s="9"/>
      <c r="O115" s="9"/>
      <c r="P115" s="9"/>
    </row>
    <row r="116" spans="10:16" x14ac:dyDescent="0.25">
      <c r="J116" s="10">
        <v>115</v>
      </c>
      <c r="K116" t="s">
        <v>223</v>
      </c>
      <c r="L116" t="s">
        <v>272</v>
      </c>
      <c r="N116" s="9"/>
      <c r="O116" s="9"/>
      <c r="P116" s="9"/>
    </row>
    <row r="117" spans="10:16" x14ac:dyDescent="0.25">
      <c r="J117" s="10">
        <v>116</v>
      </c>
      <c r="K117" t="s">
        <v>194</v>
      </c>
      <c r="L117" t="s">
        <v>271</v>
      </c>
      <c r="N117" s="9"/>
      <c r="O117" s="9"/>
      <c r="P117" s="9"/>
    </row>
    <row r="118" spans="10:16" x14ac:dyDescent="0.25">
      <c r="J118" s="10">
        <v>117</v>
      </c>
      <c r="K118" t="s">
        <v>202</v>
      </c>
      <c r="L118" t="s">
        <v>271</v>
      </c>
      <c r="N118" s="9"/>
      <c r="O118" s="9"/>
      <c r="P118" s="9"/>
    </row>
    <row r="119" spans="10:16" x14ac:dyDescent="0.25">
      <c r="J119" s="9">
        <v>118</v>
      </c>
      <c r="K119" t="s">
        <v>139</v>
      </c>
      <c r="L119" t="s">
        <v>270</v>
      </c>
      <c r="N119" s="9"/>
      <c r="O119" s="9"/>
      <c r="P119" s="9"/>
    </row>
    <row r="120" spans="10:16" x14ac:dyDescent="0.25">
      <c r="J120" s="9">
        <v>119</v>
      </c>
      <c r="K120" t="s">
        <v>164</v>
      </c>
      <c r="L120" t="s">
        <v>163</v>
      </c>
      <c r="N120" s="9"/>
      <c r="O120" s="9"/>
      <c r="P120" s="9"/>
    </row>
    <row r="121" spans="10:16" x14ac:dyDescent="0.25">
      <c r="J121" s="9">
        <v>120</v>
      </c>
      <c r="K121" t="s">
        <v>253</v>
      </c>
      <c r="L121" t="s">
        <v>274</v>
      </c>
      <c r="N121" s="9"/>
      <c r="O121" s="9"/>
      <c r="P121" s="9"/>
    </row>
    <row r="122" spans="10:16" x14ac:dyDescent="0.25">
      <c r="J122" s="9">
        <v>121</v>
      </c>
      <c r="K122" t="s">
        <v>218</v>
      </c>
      <c r="L122" t="s">
        <v>272</v>
      </c>
      <c r="N122" s="9"/>
      <c r="O122" s="9"/>
      <c r="P122" s="9"/>
    </row>
    <row r="123" spans="10:16" x14ac:dyDescent="0.25">
      <c r="J123" s="9">
        <v>122</v>
      </c>
      <c r="K123" t="s">
        <v>302</v>
      </c>
      <c r="L123" t="s">
        <v>269</v>
      </c>
      <c r="N123" s="9"/>
      <c r="O123" s="9"/>
      <c r="P123" s="9"/>
    </row>
    <row r="124" spans="10:16" x14ac:dyDescent="0.25">
      <c r="J124" s="9">
        <v>123</v>
      </c>
      <c r="K124" t="s">
        <v>146</v>
      </c>
      <c r="L124" t="s">
        <v>270</v>
      </c>
      <c r="N124" s="9"/>
      <c r="O124" s="9"/>
      <c r="P124" s="9"/>
    </row>
    <row r="125" spans="10:16" x14ac:dyDescent="0.25">
      <c r="J125" s="9">
        <v>124</v>
      </c>
      <c r="K125" t="s">
        <v>233</v>
      </c>
      <c r="L125" t="s">
        <v>273</v>
      </c>
      <c r="N125" s="9"/>
      <c r="O125" s="9"/>
      <c r="P125" s="9"/>
    </row>
    <row r="126" spans="10:16" x14ac:dyDescent="0.25">
      <c r="J126" s="9">
        <v>125</v>
      </c>
      <c r="K126" t="s">
        <v>244</v>
      </c>
      <c r="L126" t="s">
        <v>273</v>
      </c>
      <c r="N126" s="9"/>
      <c r="O126" s="9"/>
      <c r="P126" s="9"/>
    </row>
    <row r="127" spans="10:16" x14ac:dyDescent="0.25">
      <c r="J127" s="9">
        <v>126</v>
      </c>
      <c r="K127" t="s">
        <v>173</v>
      </c>
      <c r="L127" t="s">
        <v>163</v>
      </c>
      <c r="N127" s="9"/>
      <c r="O127" s="9"/>
      <c r="P127" s="9"/>
    </row>
    <row r="128" spans="10:16" x14ac:dyDescent="0.25">
      <c r="J128" s="9">
        <v>127</v>
      </c>
      <c r="K128" t="s">
        <v>158</v>
      </c>
      <c r="L128" t="s">
        <v>270</v>
      </c>
      <c r="N128" s="9"/>
      <c r="O128" s="9"/>
      <c r="P128" s="9"/>
    </row>
    <row r="129" spans="10:16" x14ac:dyDescent="0.25">
      <c r="J129" s="9">
        <v>128</v>
      </c>
      <c r="K129" t="s">
        <v>239</v>
      </c>
      <c r="L129" t="s">
        <v>273</v>
      </c>
      <c r="N129" s="9"/>
      <c r="O129" s="9"/>
      <c r="P129" s="9"/>
    </row>
    <row r="130" spans="10:16" x14ac:dyDescent="0.25">
      <c r="J130" s="9">
        <v>129</v>
      </c>
      <c r="K130" t="s">
        <v>230</v>
      </c>
      <c r="L130" t="s">
        <v>272</v>
      </c>
      <c r="N130" s="9"/>
      <c r="O130" s="9"/>
      <c r="P130" s="9"/>
    </row>
    <row r="131" spans="10:16" x14ac:dyDescent="0.25">
      <c r="J131" s="9">
        <v>130</v>
      </c>
      <c r="K131" t="s">
        <v>155</v>
      </c>
      <c r="L131" t="s">
        <v>270</v>
      </c>
      <c r="N131" s="9"/>
      <c r="O131" s="9"/>
      <c r="P131" s="9"/>
    </row>
    <row r="132" spans="10:16" x14ac:dyDescent="0.25">
      <c r="J132" s="9">
        <v>131</v>
      </c>
      <c r="K132" t="s">
        <v>309</v>
      </c>
      <c r="L132" t="s">
        <v>269</v>
      </c>
      <c r="N132" s="9"/>
      <c r="O132" s="9"/>
      <c r="P132" s="9"/>
    </row>
    <row r="133" spans="10:16" x14ac:dyDescent="0.25">
      <c r="J133" s="9">
        <v>132</v>
      </c>
      <c r="K133" t="s">
        <v>177</v>
      </c>
      <c r="L133" t="s">
        <v>163</v>
      </c>
      <c r="N133" s="9"/>
      <c r="O133" s="9"/>
      <c r="P133" s="9"/>
    </row>
    <row r="134" spans="10:16" x14ac:dyDescent="0.25">
      <c r="J134" s="9">
        <v>133</v>
      </c>
      <c r="K134" t="s">
        <v>298</v>
      </c>
      <c r="L134" t="s">
        <v>271</v>
      </c>
      <c r="N134" s="9"/>
      <c r="O134" s="9"/>
      <c r="P134" s="9"/>
    </row>
    <row r="135" spans="10:16" x14ac:dyDescent="0.25">
      <c r="J135" s="9">
        <v>134</v>
      </c>
      <c r="K135" t="s">
        <v>308</v>
      </c>
      <c r="L135" t="s">
        <v>269</v>
      </c>
      <c r="N135" s="9"/>
      <c r="O135" s="9"/>
      <c r="P135" s="9"/>
    </row>
    <row r="136" spans="10:16" x14ac:dyDescent="0.25">
      <c r="J136" s="9">
        <v>135</v>
      </c>
      <c r="K136" t="s">
        <v>165</v>
      </c>
      <c r="L136" t="s">
        <v>163</v>
      </c>
      <c r="N136" s="9"/>
      <c r="O136" s="9"/>
      <c r="P136" s="9"/>
    </row>
    <row r="137" spans="10:16" x14ac:dyDescent="0.25">
      <c r="J137" s="9">
        <v>136</v>
      </c>
      <c r="K137" t="s">
        <v>237</v>
      </c>
      <c r="L137" t="s">
        <v>273</v>
      </c>
      <c r="N137" s="9"/>
      <c r="O137" s="9"/>
      <c r="P137" s="9"/>
    </row>
    <row r="138" spans="10:16" x14ac:dyDescent="0.25">
      <c r="J138" s="11">
        <v>137</v>
      </c>
      <c r="K138" t="s">
        <v>199</v>
      </c>
      <c r="L138" t="s">
        <v>271</v>
      </c>
      <c r="N138" s="9"/>
      <c r="O138" s="9"/>
      <c r="P138" s="9"/>
    </row>
    <row r="139" spans="10:16" x14ac:dyDescent="0.25">
      <c r="J139" s="11">
        <v>138</v>
      </c>
      <c r="K139" t="s">
        <v>164</v>
      </c>
      <c r="L139" t="s">
        <v>163</v>
      </c>
      <c r="N139" s="9"/>
      <c r="O139" s="9"/>
      <c r="P139" s="9"/>
    </row>
    <row r="140" spans="10:16" x14ac:dyDescent="0.25">
      <c r="J140" s="11">
        <v>139</v>
      </c>
      <c r="K140" t="s">
        <v>258</v>
      </c>
      <c r="L140" t="s">
        <v>274</v>
      </c>
      <c r="N140" s="9"/>
      <c r="O140" s="9"/>
      <c r="P140" s="9"/>
    </row>
    <row r="141" spans="10:16" x14ac:dyDescent="0.25">
      <c r="J141" s="11">
        <v>140</v>
      </c>
      <c r="K141" t="s">
        <v>293</v>
      </c>
      <c r="L141" t="s">
        <v>286</v>
      </c>
      <c r="N141" s="9"/>
      <c r="O141" s="9"/>
      <c r="P141" s="9"/>
    </row>
    <row r="142" spans="10:16" x14ac:dyDescent="0.25">
      <c r="J142" s="11">
        <v>141</v>
      </c>
      <c r="K142" t="s">
        <v>305</v>
      </c>
      <c r="L142" t="s">
        <v>269</v>
      </c>
      <c r="N142" s="9"/>
      <c r="O142" s="9"/>
      <c r="P142" s="9"/>
    </row>
    <row r="143" spans="10:16" x14ac:dyDescent="0.25">
      <c r="J143" s="11">
        <v>142</v>
      </c>
      <c r="K143" t="s">
        <v>120</v>
      </c>
      <c r="L143" t="s">
        <v>269</v>
      </c>
      <c r="N143" s="9"/>
      <c r="O143" s="9"/>
      <c r="P143" s="9"/>
    </row>
    <row r="144" spans="10:16" x14ac:dyDescent="0.25">
      <c r="J144" s="11">
        <v>143</v>
      </c>
      <c r="K144" t="s">
        <v>295</v>
      </c>
      <c r="L144" t="s">
        <v>286</v>
      </c>
      <c r="N144" s="9"/>
      <c r="O144" s="9"/>
      <c r="P144" s="9"/>
    </row>
    <row r="145" spans="10:16" x14ac:dyDescent="0.25">
      <c r="J145" s="11">
        <v>144</v>
      </c>
      <c r="K145" t="s">
        <v>128</v>
      </c>
      <c r="L145" t="s">
        <v>269</v>
      </c>
      <c r="N145" s="9"/>
      <c r="O145" s="9"/>
      <c r="P145" s="9"/>
    </row>
    <row r="146" spans="10:16" x14ac:dyDescent="0.25">
      <c r="J146" s="11">
        <v>145</v>
      </c>
      <c r="K146" t="s">
        <v>159</v>
      </c>
      <c r="L146" t="s">
        <v>270</v>
      </c>
      <c r="N146" s="9"/>
      <c r="O146" s="9"/>
      <c r="P146" s="9"/>
    </row>
    <row r="147" spans="10:16" x14ac:dyDescent="0.25">
      <c r="J147" s="11">
        <v>146</v>
      </c>
      <c r="K147" t="s">
        <v>229</v>
      </c>
      <c r="L147" t="s">
        <v>272</v>
      </c>
      <c r="N147" s="9"/>
      <c r="O147" s="9"/>
      <c r="P147" s="9"/>
    </row>
    <row r="148" spans="10:16" x14ac:dyDescent="0.25">
      <c r="J148" s="11">
        <v>147</v>
      </c>
      <c r="K148" t="s">
        <v>265</v>
      </c>
      <c r="L148" t="s">
        <v>275</v>
      </c>
      <c r="N148" s="9"/>
      <c r="O148" s="9"/>
      <c r="P148" s="9"/>
    </row>
    <row r="149" spans="10:16" x14ac:dyDescent="0.25">
      <c r="J149" s="11">
        <v>148</v>
      </c>
      <c r="K149" t="s">
        <v>231</v>
      </c>
      <c r="L149" t="s">
        <v>273</v>
      </c>
      <c r="N149" s="9"/>
      <c r="O149" s="9"/>
      <c r="P149" s="9"/>
    </row>
    <row r="150" spans="10:16" x14ac:dyDescent="0.25">
      <c r="J150" s="11">
        <v>149</v>
      </c>
      <c r="K150" t="s">
        <v>178</v>
      </c>
      <c r="L150" t="s">
        <v>163</v>
      </c>
      <c r="N150" s="9"/>
      <c r="O150" s="9"/>
      <c r="P150" s="9"/>
    </row>
    <row r="151" spans="10:16" x14ac:dyDescent="0.25">
      <c r="J151" s="11">
        <v>150</v>
      </c>
      <c r="K151" t="s">
        <v>232</v>
      </c>
      <c r="L151" t="s">
        <v>273</v>
      </c>
      <c r="N151" s="9"/>
      <c r="O151" s="9"/>
      <c r="P151" s="9"/>
    </row>
    <row r="152" spans="10:16" x14ac:dyDescent="0.25">
      <c r="J152" s="11">
        <v>151</v>
      </c>
      <c r="K152" t="s">
        <v>196</v>
      </c>
      <c r="L152" t="s">
        <v>271</v>
      </c>
      <c r="N152" s="9"/>
      <c r="O152" s="9"/>
      <c r="P152" s="9"/>
    </row>
    <row r="153" spans="10:16" x14ac:dyDescent="0.25">
      <c r="J153" s="11">
        <v>152</v>
      </c>
      <c r="K153" t="s">
        <v>124</v>
      </c>
      <c r="L153" t="s">
        <v>269</v>
      </c>
      <c r="N153" s="9"/>
      <c r="O153" s="9"/>
      <c r="P153" s="9"/>
    </row>
    <row r="154" spans="10:16" x14ac:dyDescent="0.25">
      <c r="J154" s="11">
        <v>153</v>
      </c>
      <c r="K154" t="s">
        <v>283</v>
      </c>
      <c r="L154" t="s">
        <v>276</v>
      </c>
      <c r="N154" s="9"/>
      <c r="O154" s="9"/>
      <c r="P154" s="9"/>
    </row>
    <row r="155" spans="10:16" x14ac:dyDescent="0.25">
      <c r="J155" s="12">
        <v>154</v>
      </c>
      <c r="K155" t="s">
        <v>152</v>
      </c>
      <c r="L155" t="s">
        <v>270</v>
      </c>
      <c r="N155" s="9"/>
      <c r="O155" s="9"/>
      <c r="P155" s="9"/>
    </row>
    <row r="156" spans="10:16" x14ac:dyDescent="0.25">
      <c r="J156" s="12">
        <v>155</v>
      </c>
      <c r="K156" t="s">
        <v>174</v>
      </c>
      <c r="L156" t="s">
        <v>163</v>
      </c>
      <c r="N156" s="9"/>
      <c r="O156" s="9"/>
      <c r="P156" s="9"/>
    </row>
    <row r="157" spans="10:16" x14ac:dyDescent="0.25">
      <c r="J157" s="12">
        <v>156</v>
      </c>
      <c r="K157" t="s">
        <v>242</v>
      </c>
      <c r="L157" t="s">
        <v>273</v>
      </c>
      <c r="N157" s="9"/>
      <c r="O157" s="9"/>
      <c r="P157" s="9"/>
    </row>
    <row r="158" spans="10:16" x14ac:dyDescent="0.25">
      <c r="J158" s="12">
        <v>157</v>
      </c>
      <c r="K158" t="s">
        <v>147</v>
      </c>
      <c r="L158" t="s">
        <v>270</v>
      </c>
      <c r="N158" s="9"/>
      <c r="O158" s="9"/>
      <c r="P158" s="9"/>
    </row>
    <row r="159" spans="10:16" x14ac:dyDescent="0.25">
      <c r="J159" s="12">
        <v>158</v>
      </c>
      <c r="K159" t="s">
        <v>166</v>
      </c>
      <c r="L159" t="s">
        <v>163</v>
      </c>
      <c r="N159" s="9"/>
      <c r="O159" s="9"/>
      <c r="P159" s="9"/>
    </row>
    <row r="160" spans="10:16" x14ac:dyDescent="0.25">
      <c r="J160" s="12">
        <v>159</v>
      </c>
      <c r="K160" t="s">
        <v>219</v>
      </c>
      <c r="L160" t="s">
        <v>272</v>
      </c>
      <c r="N160" s="9"/>
      <c r="O160" s="9"/>
      <c r="P160" s="9"/>
    </row>
    <row r="161" spans="10:16" x14ac:dyDescent="0.25">
      <c r="J161" s="12">
        <v>160</v>
      </c>
      <c r="K161" t="s">
        <v>252</v>
      </c>
      <c r="L161" t="s">
        <v>274</v>
      </c>
      <c r="N161" s="9"/>
      <c r="O161" s="9"/>
      <c r="P161" s="9"/>
    </row>
    <row r="162" spans="10:16" x14ac:dyDescent="0.25">
      <c r="J162" s="12">
        <v>161</v>
      </c>
      <c r="K162" t="s">
        <v>129</v>
      </c>
      <c r="L162" t="s">
        <v>269</v>
      </c>
      <c r="N162" s="9"/>
      <c r="O162" s="9"/>
      <c r="P162" s="9"/>
    </row>
    <row r="163" spans="10:16" x14ac:dyDescent="0.25">
      <c r="J163" s="12">
        <v>162</v>
      </c>
      <c r="K163" t="s">
        <v>294</v>
      </c>
      <c r="L163" t="s">
        <v>286</v>
      </c>
      <c r="N163" s="9"/>
      <c r="O163" s="9"/>
      <c r="P163" s="9"/>
    </row>
    <row r="164" spans="10:16" x14ac:dyDescent="0.25">
      <c r="J164" s="12">
        <v>163</v>
      </c>
      <c r="K164" t="s">
        <v>245</v>
      </c>
      <c r="L164" t="s">
        <v>273</v>
      </c>
      <c r="N164" s="9"/>
      <c r="O164" s="9"/>
      <c r="P164" s="9"/>
    </row>
    <row r="165" spans="10:16" x14ac:dyDescent="0.25">
      <c r="J165" s="12">
        <v>164</v>
      </c>
      <c r="K165" t="s">
        <v>185</v>
      </c>
      <c r="L165" t="s">
        <v>113</v>
      </c>
      <c r="N165" s="9"/>
      <c r="O165" s="9"/>
      <c r="P165" s="9"/>
    </row>
    <row r="166" spans="10:16" x14ac:dyDescent="0.25">
      <c r="J166" s="7">
        <v>165</v>
      </c>
      <c r="K166" t="s">
        <v>167</v>
      </c>
      <c r="L166" t="s">
        <v>163</v>
      </c>
      <c r="N166" s="9"/>
      <c r="O166" s="9"/>
      <c r="P166" s="9"/>
    </row>
    <row r="167" spans="10:16" x14ac:dyDescent="0.25">
      <c r="J167" s="7">
        <v>166</v>
      </c>
      <c r="K167" t="s">
        <v>135</v>
      </c>
      <c r="L167" t="s">
        <v>269</v>
      </c>
      <c r="N167" s="9"/>
      <c r="O167" s="9"/>
      <c r="P167" s="9"/>
    </row>
    <row r="168" spans="10:16" x14ac:dyDescent="0.25">
      <c r="J168" s="7">
        <v>167</v>
      </c>
      <c r="K168" t="s">
        <v>195</v>
      </c>
      <c r="L168" t="s">
        <v>271</v>
      </c>
      <c r="N168" s="9"/>
      <c r="O168" s="9"/>
      <c r="P168" s="9"/>
    </row>
    <row r="169" spans="10:16" x14ac:dyDescent="0.25">
      <c r="J169" s="7">
        <v>168</v>
      </c>
      <c r="K169" t="s">
        <v>192</v>
      </c>
      <c r="L169" t="s">
        <v>113</v>
      </c>
      <c r="N169" s="9"/>
      <c r="O169" s="9"/>
      <c r="P169" s="9"/>
    </row>
    <row r="170" spans="10:16" x14ac:dyDescent="0.25">
      <c r="J170" s="7">
        <v>169</v>
      </c>
      <c r="K170" t="s">
        <v>280</v>
      </c>
      <c r="L170" t="s">
        <v>276</v>
      </c>
      <c r="N170" s="9"/>
      <c r="O170" s="9"/>
      <c r="P170" s="9"/>
    </row>
    <row r="171" spans="10:16" x14ac:dyDescent="0.25">
      <c r="J171" s="7">
        <v>170</v>
      </c>
      <c r="K171" t="s">
        <v>246</v>
      </c>
      <c r="L171" t="s">
        <v>273</v>
      </c>
      <c r="N171" s="9"/>
      <c r="O171" s="9"/>
      <c r="P171" s="9"/>
    </row>
    <row r="172" spans="10:16" x14ac:dyDescent="0.25">
      <c r="J172" s="7">
        <v>171</v>
      </c>
      <c r="K172" t="s">
        <v>160</v>
      </c>
      <c r="L172" t="s">
        <v>270</v>
      </c>
      <c r="N172" s="9"/>
      <c r="O172" s="9"/>
      <c r="P172" s="9"/>
    </row>
    <row r="173" spans="10:16" x14ac:dyDescent="0.25">
      <c r="J173" s="7">
        <v>172</v>
      </c>
      <c r="K173" t="s">
        <v>234</v>
      </c>
      <c r="L173" t="s">
        <v>273</v>
      </c>
      <c r="N173" s="9"/>
      <c r="O173" s="9"/>
      <c r="P173" s="9"/>
    </row>
    <row r="174" spans="10:16" x14ac:dyDescent="0.25">
      <c r="J174" s="7">
        <v>173</v>
      </c>
      <c r="K174" t="s">
        <v>315</v>
      </c>
      <c r="L174" t="s">
        <v>271</v>
      </c>
      <c r="N174" s="9"/>
      <c r="O174" s="9"/>
      <c r="P174" s="9"/>
    </row>
    <row r="175" spans="10:16" x14ac:dyDescent="0.25">
      <c r="J175" s="7">
        <v>174</v>
      </c>
      <c r="K175" t="s">
        <v>187</v>
      </c>
      <c r="L175" t="s">
        <v>113</v>
      </c>
      <c r="N175" s="9"/>
      <c r="O175" s="9"/>
      <c r="P175" s="9"/>
    </row>
    <row r="176" spans="10:16" x14ac:dyDescent="0.25">
      <c r="J176" s="13">
        <v>175</v>
      </c>
      <c r="K176" t="s">
        <v>267</v>
      </c>
      <c r="L176" t="s">
        <v>275</v>
      </c>
      <c r="N176" s="9"/>
      <c r="O176" s="9"/>
      <c r="P176" s="9"/>
    </row>
    <row r="177" spans="10:16" x14ac:dyDescent="0.25">
      <c r="J177" s="13">
        <v>176</v>
      </c>
      <c r="K177" t="s">
        <v>162</v>
      </c>
      <c r="L177" t="s">
        <v>270</v>
      </c>
      <c r="N177" s="9"/>
      <c r="O177" s="9"/>
      <c r="P177" s="9"/>
    </row>
    <row r="178" spans="10:16" x14ac:dyDescent="0.25">
      <c r="J178" s="13">
        <v>177</v>
      </c>
      <c r="K178" t="s">
        <v>175</v>
      </c>
      <c r="L178" t="s">
        <v>163</v>
      </c>
    </row>
    <row r="179" spans="10:16" x14ac:dyDescent="0.25">
      <c r="J179" s="13">
        <v>178</v>
      </c>
      <c r="K179" t="s">
        <v>179</v>
      </c>
      <c r="L179" t="s">
        <v>113</v>
      </c>
    </row>
    <row r="180" spans="10:16" x14ac:dyDescent="0.25">
      <c r="J180" s="13">
        <v>179</v>
      </c>
      <c r="K180" t="s">
        <v>181</v>
      </c>
      <c r="L180" t="s">
        <v>113</v>
      </c>
    </row>
    <row r="181" spans="10:16" x14ac:dyDescent="0.25">
      <c r="J181" s="13">
        <v>180</v>
      </c>
      <c r="K181" t="s">
        <v>241</v>
      </c>
      <c r="L181" t="s">
        <v>273</v>
      </c>
    </row>
    <row r="182" spans="10:16" x14ac:dyDescent="0.25">
      <c r="J182" s="13">
        <v>181</v>
      </c>
      <c r="K182" t="s">
        <v>297</v>
      </c>
      <c r="L182" t="s">
        <v>271</v>
      </c>
    </row>
    <row r="183" spans="10:16" x14ac:dyDescent="0.25">
      <c r="J183" s="13">
        <v>182</v>
      </c>
      <c r="K183" t="s">
        <v>188</v>
      </c>
      <c r="L183" t="s">
        <v>113</v>
      </c>
    </row>
    <row r="184" spans="10:16" x14ac:dyDescent="0.25">
      <c r="J184" s="13">
        <v>183</v>
      </c>
      <c r="K184" t="s">
        <v>149</v>
      </c>
      <c r="L184" t="s">
        <v>270</v>
      </c>
    </row>
    <row r="185" spans="10:16" x14ac:dyDescent="0.25">
      <c r="J185" s="13">
        <v>184</v>
      </c>
      <c r="K185" t="s">
        <v>247</v>
      </c>
      <c r="L185" t="s">
        <v>273</v>
      </c>
    </row>
    <row r="186" spans="10:16" x14ac:dyDescent="0.25">
      <c r="J186" s="14">
        <v>185</v>
      </c>
      <c r="K186" t="s">
        <v>238</v>
      </c>
      <c r="L186" t="s">
        <v>273</v>
      </c>
    </row>
    <row r="187" spans="10:16" x14ac:dyDescent="0.25">
      <c r="J187" s="14">
        <v>186</v>
      </c>
      <c r="K187" t="s">
        <v>278</v>
      </c>
      <c r="L187" t="s">
        <v>276</v>
      </c>
    </row>
    <row r="188" spans="10:16" x14ac:dyDescent="0.25">
      <c r="J188" s="14">
        <v>187</v>
      </c>
      <c r="K188" t="s">
        <v>289</v>
      </c>
      <c r="L188" t="s">
        <v>286</v>
      </c>
    </row>
    <row r="189" spans="10:16" x14ac:dyDescent="0.25">
      <c r="J189" s="14">
        <v>188</v>
      </c>
      <c r="K189" t="s">
        <v>290</v>
      </c>
      <c r="L189" t="s">
        <v>286</v>
      </c>
    </row>
    <row r="190" spans="10:16" x14ac:dyDescent="0.25">
      <c r="J190" s="14">
        <v>189</v>
      </c>
      <c r="K190" t="s">
        <v>134</v>
      </c>
      <c r="L190" t="s">
        <v>269</v>
      </c>
    </row>
    <row r="191" spans="10:16" x14ac:dyDescent="0.25">
      <c r="J191" s="14">
        <v>190</v>
      </c>
      <c r="K191" t="s">
        <v>240</v>
      </c>
      <c r="L191" t="s">
        <v>273</v>
      </c>
    </row>
    <row r="192" spans="10:16" x14ac:dyDescent="0.25">
      <c r="J192" s="14">
        <v>191</v>
      </c>
      <c r="K192" t="s">
        <v>117</v>
      </c>
      <c r="L192" t="s">
        <v>269</v>
      </c>
    </row>
    <row r="193" spans="10:12" x14ac:dyDescent="0.25">
      <c r="J193" s="14">
        <v>192</v>
      </c>
      <c r="K193" t="s">
        <v>213</v>
      </c>
      <c r="L193" t="s">
        <v>272</v>
      </c>
    </row>
    <row r="194" spans="10:12" x14ac:dyDescent="0.25">
      <c r="J194" s="14">
        <v>193</v>
      </c>
      <c r="K194" t="s">
        <v>314</v>
      </c>
      <c r="L194" t="s">
        <v>270</v>
      </c>
    </row>
    <row r="195" spans="10:12" x14ac:dyDescent="0.25">
      <c r="J195" s="14">
        <v>194</v>
      </c>
      <c r="K195" t="s">
        <v>256</v>
      </c>
      <c r="L195" t="s">
        <v>274</v>
      </c>
    </row>
  </sheetData>
  <conditionalFormatting sqref="F2:F74">
    <cfRule type="duplicateValues" dxfId="27" priority="420"/>
    <cfRule type="duplicateValues" dxfId="26" priority="421"/>
    <cfRule type="cellIs" dxfId="25" priority="422" operator="equal">
      <formula>5773500711</formula>
    </cfRule>
    <cfRule type="cellIs" dxfId="24" priority="423" operator="equal">
      <formula>2710639176</formula>
    </cfRule>
  </conditionalFormatting>
  <conditionalFormatting sqref="F1:F74 F96:F1048576">
    <cfRule type="duplicateValues" dxfId="23" priority="6"/>
  </conditionalFormatting>
  <conditionalFormatting sqref="F75:F95">
    <cfRule type="duplicateValues" dxfId="22" priority="2"/>
    <cfRule type="duplicateValues" dxfId="21" priority="3"/>
    <cfRule type="cellIs" dxfId="20" priority="4" operator="equal">
      <formula>5773500711</formula>
    </cfRule>
    <cfRule type="cellIs" dxfId="19" priority="5" operator="equal">
      <formula>2710639176</formula>
    </cfRule>
  </conditionalFormatting>
  <conditionalFormatting sqref="F75:F95">
    <cfRule type="duplicateValues" dxfId="18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zoomScaleNormal="100" workbookViewId="0">
      <selection activeCell="F8" sqref="F8"/>
    </sheetView>
  </sheetViews>
  <sheetFormatPr baseColWidth="10" defaultRowHeight="14.25" x14ac:dyDescent="0.2"/>
  <cols>
    <col min="1" max="1" width="11.7109375" style="64" customWidth="1"/>
    <col min="2" max="2" width="11.85546875" style="64" bestFit="1" customWidth="1"/>
    <col min="3" max="3" width="14.85546875" style="64" bestFit="1" customWidth="1"/>
    <col min="4" max="5" width="11.42578125" style="64" customWidth="1"/>
    <col min="6" max="6" width="37.5703125" style="64" customWidth="1"/>
    <col min="7" max="7" width="51.42578125" style="64" customWidth="1"/>
    <col min="8" max="8" width="38.7109375" style="64" bestFit="1" customWidth="1"/>
    <col min="9" max="9" width="15.85546875" style="64" customWidth="1"/>
    <col min="10" max="10" width="11.42578125" style="64" customWidth="1"/>
    <col min="11" max="11" width="15.85546875" style="64" customWidth="1"/>
    <col min="12" max="12" width="40" style="64" customWidth="1"/>
    <col min="13" max="13" width="36.5703125" style="64" customWidth="1"/>
    <col min="14" max="14" width="22.85546875" style="64" customWidth="1"/>
    <col min="15" max="15" width="19.5703125" style="64" customWidth="1"/>
    <col min="16" max="16" width="11.42578125" style="64" customWidth="1"/>
    <col min="17" max="17" width="20.140625" style="64" customWidth="1"/>
    <col min="18" max="18" width="70.42578125" style="64" customWidth="1"/>
    <col min="19" max="19" width="7.7109375" style="79" customWidth="1"/>
    <col min="20" max="23" width="11.42578125" style="64"/>
    <col min="24" max="24" width="11.7109375" style="64" customWidth="1"/>
    <col min="25" max="16384" width="11.42578125" style="64"/>
  </cols>
  <sheetData>
    <row r="1" spans="1:28" x14ac:dyDescent="0.2">
      <c r="A1" s="130" t="s">
        <v>316</v>
      </c>
      <c r="B1" s="130"/>
      <c r="C1" s="130"/>
      <c r="D1" s="130"/>
      <c r="E1" s="130"/>
      <c r="F1" s="80" t="s">
        <v>434</v>
      </c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3"/>
    </row>
    <row r="2" spans="1:28" ht="21.75" customHeight="1" x14ac:dyDescent="0.2">
      <c r="A2" s="65" t="s">
        <v>105</v>
      </c>
      <c r="B2" s="65" t="s">
        <v>319</v>
      </c>
      <c r="C2" s="65" t="s">
        <v>106</v>
      </c>
      <c r="D2" s="65" t="s">
        <v>320</v>
      </c>
      <c r="E2" s="65" t="s">
        <v>10</v>
      </c>
      <c r="F2" s="66" t="s">
        <v>322</v>
      </c>
      <c r="G2" s="67" t="s">
        <v>323</v>
      </c>
      <c r="H2" s="67" t="s">
        <v>324</v>
      </c>
      <c r="I2" s="66" t="s">
        <v>107</v>
      </c>
      <c r="J2" s="66" t="s">
        <v>108</v>
      </c>
      <c r="K2" s="68" t="s">
        <v>109</v>
      </c>
      <c r="L2" s="69" t="s">
        <v>325</v>
      </c>
      <c r="M2" s="69" t="s">
        <v>326</v>
      </c>
      <c r="N2" s="69" t="s">
        <v>327</v>
      </c>
      <c r="O2" s="69" t="s">
        <v>328</v>
      </c>
      <c r="P2" s="69" t="s">
        <v>108</v>
      </c>
      <c r="Q2" s="69" t="s">
        <v>109</v>
      </c>
      <c r="R2" s="70" t="s">
        <v>110</v>
      </c>
      <c r="S2" s="71" t="s">
        <v>111</v>
      </c>
      <c r="W2" s="72"/>
      <c r="X2" s="73" t="s">
        <v>317</v>
      </c>
      <c r="AB2" s="74"/>
    </row>
    <row r="3" spans="1:28" ht="15.75" customHeight="1" x14ac:dyDescent="0.2">
      <c r="A3" s="75"/>
      <c r="B3" s="75"/>
      <c r="C3" s="75"/>
      <c r="D3" s="75"/>
      <c r="E3" s="89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W3" s="76"/>
      <c r="X3" s="62">
        <v>2</v>
      </c>
    </row>
    <row r="4" spans="1:28" ht="15.75" customHeight="1" x14ac:dyDescent="0.2">
      <c r="A4" s="75"/>
      <c r="B4" s="75"/>
      <c r="C4" s="75"/>
      <c r="D4" s="75"/>
      <c r="E4" s="89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7"/>
    </row>
    <row r="5" spans="1:28" ht="13.5" customHeight="1" x14ac:dyDescent="0.2">
      <c r="A5" s="75"/>
      <c r="B5" s="75"/>
      <c r="C5" s="75"/>
      <c r="D5" s="75"/>
      <c r="E5" s="89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7"/>
    </row>
    <row r="6" spans="1:28" x14ac:dyDescent="0.2">
      <c r="A6" s="77"/>
      <c r="B6" s="77"/>
      <c r="C6" s="77"/>
      <c r="D6" s="78"/>
      <c r="E6" s="78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8"/>
      <c r="R6" s="77"/>
      <c r="S6" s="75"/>
      <c r="T6" s="77"/>
    </row>
    <row r="7" spans="1:28" x14ac:dyDescent="0.2">
      <c r="A7" s="77"/>
      <c r="B7" s="77"/>
      <c r="C7" s="77"/>
      <c r="D7" s="78"/>
      <c r="E7" s="78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8"/>
      <c r="R7" s="77"/>
      <c r="S7" s="75"/>
      <c r="T7" s="77"/>
    </row>
    <row r="8" spans="1:28" x14ac:dyDescent="0.2">
      <c r="A8" s="77"/>
      <c r="B8" s="77"/>
      <c r="C8" s="77"/>
      <c r="D8" s="78"/>
      <c r="E8" s="78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8"/>
      <c r="R8" s="77"/>
      <c r="S8" s="75"/>
      <c r="T8" s="77"/>
    </row>
    <row r="9" spans="1:28" x14ac:dyDescent="0.2">
      <c r="A9" s="77"/>
      <c r="B9" s="77"/>
      <c r="C9" s="77"/>
      <c r="D9" s="78"/>
      <c r="E9" s="78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8"/>
      <c r="R9" s="77"/>
      <c r="S9" s="75"/>
      <c r="T9" s="77"/>
    </row>
    <row r="10" spans="1:28" x14ac:dyDescent="0.2">
      <c r="A10" s="77"/>
      <c r="B10" s="77"/>
      <c r="C10" s="77"/>
      <c r="D10" s="78"/>
      <c r="E10" s="78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8"/>
      <c r="R10" s="77"/>
      <c r="S10" s="75"/>
      <c r="T10" s="77"/>
    </row>
    <row r="11" spans="1:28" x14ac:dyDescent="0.2">
      <c r="A11" s="77"/>
      <c r="B11" s="77"/>
      <c r="C11" s="77"/>
      <c r="D11" s="78"/>
      <c r="E11" s="78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8"/>
      <c r="R11" s="77"/>
      <c r="S11" s="75"/>
      <c r="T11" s="77"/>
    </row>
    <row r="12" spans="1:28" x14ac:dyDescent="0.2">
      <c r="A12" s="77"/>
      <c r="B12" s="77"/>
      <c r="C12" s="77"/>
      <c r="D12" s="78"/>
      <c r="E12" s="78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8"/>
      <c r="R12" s="77"/>
      <c r="S12" s="75"/>
      <c r="T12" s="77"/>
    </row>
    <row r="13" spans="1:28" x14ac:dyDescent="0.2">
      <c r="A13" s="77"/>
      <c r="B13" s="77"/>
      <c r="C13" s="77"/>
      <c r="D13" s="78"/>
      <c r="E13" s="78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8"/>
      <c r="R13" s="77"/>
      <c r="S13" s="75"/>
      <c r="T13" s="77"/>
    </row>
    <row r="14" spans="1:28" x14ac:dyDescent="0.2">
      <c r="A14" s="77"/>
      <c r="B14" s="77"/>
      <c r="C14" s="77"/>
      <c r="D14" s="78"/>
      <c r="E14" s="78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8"/>
      <c r="R14" s="77"/>
      <c r="S14" s="75"/>
      <c r="T14" s="77"/>
    </row>
    <row r="15" spans="1:28" x14ac:dyDescent="0.2">
      <c r="A15" s="77"/>
      <c r="B15" s="77"/>
      <c r="C15" s="77"/>
      <c r="D15" s="78"/>
      <c r="E15" s="78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8"/>
      <c r="R15" s="77"/>
      <c r="S15" s="75"/>
      <c r="T15" s="77"/>
    </row>
    <row r="16" spans="1:28" x14ac:dyDescent="0.2">
      <c r="A16" s="76"/>
      <c r="B16" s="77"/>
      <c r="C16" s="77"/>
      <c r="D16" s="78"/>
      <c r="E16" s="78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8"/>
      <c r="R16" s="77"/>
      <c r="S16" s="75"/>
      <c r="T16" s="77"/>
    </row>
    <row r="17" spans="1:20" x14ac:dyDescent="0.2">
      <c r="A17" s="77"/>
      <c r="B17" s="77"/>
      <c r="C17" s="77"/>
      <c r="D17" s="78"/>
      <c r="E17" s="78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8"/>
      <c r="R17" s="77"/>
      <c r="S17" s="75"/>
      <c r="T17" s="77"/>
    </row>
    <row r="18" spans="1:20" x14ac:dyDescent="0.2">
      <c r="A18" s="77"/>
      <c r="B18" s="77"/>
      <c r="C18" s="77"/>
      <c r="D18" s="78"/>
      <c r="E18" s="78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8"/>
      <c r="R18" s="77"/>
      <c r="S18" s="75"/>
      <c r="T18" s="77"/>
    </row>
    <row r="19" spans="1:20" x14ac:dyDescent="0.2">
      <c r="A19" s="77"/>
      <c r="B19" s="77"/>
      <c r="C19" s="77"/>
      <c r="D19" s="78"/>
      <c r="E19" s="78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8"/>
      <c r="R19" s="77"/>
      <c r="S19" s="75"/>
      <c r="T19" s="77"/>
    </row>
    <row r="20" spans="1:20" x14ac:dyDescent="0.2">
      <c r="A20" s="77"/>
      <c r="B20" s="77"/>
      <c r="C20" s="77"/>
      <c r="D20" s="78"/>
      <c r="E20" s="78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8"/>
      <c r="R20" s="77"/>
      <c r="S20" s="75"/>
      <c r="T20" s="77"/>
    </row>
    <row r="21" spans="1:20" x14ac:dyDescent="0.2">
      <c r="A21" s="77"/>
      <c r="B21" s="77"/>
      <c r="C21" s="77"/>
      <c r="D21" s="78"/>
      <c r="E21" s="78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8"/>
      <c r="R21" s="77"/>
      <c r="S21" s="75"/>
      <c r="T21" s="77"/>
    </row>
    <row r="22" spans="1:20" x14ac:dyDescent="0.2">
      <c r="A22" s="77"/>
      <c r="B22" s="77"/>
      <c r="C22" s="77"/>
      <c r="D22" s="78"/>
      <c r="E22" s="78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8"/>
      <c r="R22" s="77"/>
      <c r="S22" s="75"/>
      <c r="T22" s="77"/>
    </row>
    <row r="23" spans="1:20" x14ac:dyDescent="0.2">
      <c r="A23" s="77"/>
      <c r="B23" s="77"/>
      <c r="C23" s="77"/>
      <c r="D23" s="78"/>
      <c r="E23" s="78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8"/>
      <c r="R23" s="77"/>
      <c r="S23" s="75"/>
      <c r="T23" s="77"/>
    </row>
    <row r="24" spans="1:20" x14ac:dyDescent="0.2">
      <c r="A24" s="77"/>
      <c r="B24" s="77"/>
      <c r="C24" s="77"/>
      <c r="D24" s="78"/>
      <c r="E24" s="78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8"/>
      <c r="R24" s="77"/>
      <c r="S24" s="75"/>
      <c r="T24" s="77"/>
    </row>
    <row r="25" spans="1:20" x14ac:dyDescent="0.2">
      <c r="A25" s="77"/>
      <c r="B25" s="77"/>
      <c r="C25" s="77"/>
      <c r="D25" s="78"/>
      <c r="E25" s="78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8"/>
      <c r="R25" s="77"/>
      <c r="S25" s="75"/>
      <c r="T25" s="77"/>
    </row>
    <row r="26" spans="1:20" x14ac:dyDescent="0.2">
      <c r="A26" s="77"/>
      <c r="B26" s="77"/>
      <c r="C26" s="77"/>
      <c r="D26" s="78"/>
      <c r="E26" s="78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8"/>
      <c r="R26" s="77"/>
      <c r="S26" s="75"/>
      <c r="T26" s="77"/>
    </row>
    <row r="27" spans="1:20" x14ac:dyDescent="0.2">
      <c r="A27" s="77"/>
      <c r="B27" s="77"/>
      <c r="C27" s="77"/>
      <c r="D27" s="78"/>
      <c r="E27" s="78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8"/>
      <c r="R27" s="77"/>
      <c r="S27" s="75"/>
      <c r="T27" s="77"/>
    </row>
    <row r="28" spans="1:20" x14ac:dyDescent="0.2">
      <c r="A28" s="77"/>
      <c r="B28" s="77"/>
      <c r="C28" s="77"/>
      <c r="D28" s="78"/>
      <c r="E28" s="78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8"/>
      <c r="R28" s="77"/>
      <c r="S28" s="75"/>
      <c r="T28" s="77"/>
    </row>
    <row r="29" spans="1:20" x14ac:dyDescent="0.2">
      <c r="A29" s="76"/>
      <c r="B29" s="77"/>
      <c r="C29" s="77"/>
      <c r="D29" s="78"/>
      <c r="E29" s="78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8"/>
      <c r="R29" s="77"/>
      <c r="S29" s="75"/>
      <c r="T29" s="77"/>
    </row>
    <row r="30" spans="1:20" x14ac:dyDescent="0.2">
      <c r="A30" s="77"/>
      <c r="B30" s="77"/>
      <c r="C30" s="77"/>
      <c r="D30" s="78"/>
      <c r="E30" s="78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8"/>
      <c r="R30" s="77"/>
      <c r="S30" s="78"/>
      <c r="T30" s="77"/>
    </row>
    <row r="31" spans="1:20" x14ac:dyDescent="0.2">
      <c r="A31" s="77"/>
      <c r="B31" s="77"/>
      <c r="C31" s="77"/>
      <c r="D31" s="78"/>
      <c r="E31" s="78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8"/>
      <c r="R31" s="77"/>
      <c r="S31" s="78"/>
      <c r="T31" s="77"/>
    </row>
    <row r="32" spans="1:20" x14ac:dyDescent="0.2">
      <c r="A32" s="77"/>
      <c r="B32" s="77"/>
      <c r="C32" s="77"/>
      <c r="D32" s="78"/>
      <c r="E32" s="78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8"/>
      <c r="R32" s="77"/>
      <c r="S32" s="78"/>
      <c r="T32" s="77"/>
    </row>
    <row r="33" spans="1:20" x14ac:dyDescent="0.2">
      <c r="A33" s="77"/>
      <c r="B33" s="77"/>
      <c r="C33" s="77"/>
      <c r="D33" s="78"/>
      <c r="E33" s="78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8"/>
      <c r="R33" s="77"/>
      <c r="S33" s="78"/>
      <c r="T33" s="77"/>
    </row>
    <row r="34" spans="1:20" x14ac:dyDescent="0.2">
      <c r="A34" s="77"/>
      <c r="B34" s="77"/>
      <c r="C34" s="77"/>
      <c r="D34" s="78"/>
      <c r="E34" s="78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8"/>
      <c r="R34" s="77"/>
      <c r="S34" s="78"/>
      <c r="T34" s="77"/>
    </row>
    <row r="35" spans="1:20" x14ac:dyDescent="0.2">
      <c r="A35" s="77"/>
      <c r="B35" s="77"/>
      <c r="C35" s="77"/>
      <c r="D35" s="78"/>
      <c r="E35" s="78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8"/>
      <c r="R35" s="77"/>
      <c r="S35" s="78"/>
      <c r="T35" s="77"/>
    </row>
    <row r="36" spans="1:20" x14ac:dyDescent="0.2">
      <c r="A36" s="77"/>
      <c r="B36" s="77"/>
      <c r="C36" s="77"/>
      <c r="D36" s="78"/>
      <c r="E36" s="78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8"/>
      <c r="R36" s="77"/>
      <c r="S36" s="78"/>
      <c r="T36" s="77"/>
    </row>
    <row r="37" spans="1:20" x14ac:dyDescent="0.2">
      <c r="A37" s="77"/>
      <c r="B37" s="77"/>
      <c r="C37" s="77"/>
      <c r="D37" s="78"/>
      <c r="E37" s="78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8"/>
      <c r="R37" s="77"/>
      <c r="S37" s="78"/>
      <c r="T37" s="77"/>
    </row>
    <row r="38" spans="1:20" x14ac:dyDescent="0.2">
      <c r="A38" s="77"/>
      <c r="B38" s="77"/>
      <c r="C38" s="77"/>
      <c r="D38" s="78"/>
      <c r="E38" s="78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8"/>
      <c r="R38" s="77"/>
      <c r="S38" s="78"/>
      <c r="T38" s="77"/>
    </row>
    <row r="39" spans="1:20" x14ac:dyDescent="0.2">
      <c r="A39" s="77"/>
      <c r="B39" s="77"/>
      <c r="C39" s="77"/>
      <c r="D39" s="78"/>
      <c r="E39" s="78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8"/>
      <c r="R39" s="77"/>
      <c r="S39" s="78"/>
      <c r="T39" s="77"/>
    </row>
    <row r="40" spans="1:20" x14ac:dyDescent="0.2">
      <c r="A40" s="77"/>
      <c r="B40" s="77"/>
      <c r="C40" s="77"/>
      <c r="D40" s="78"/>
      <c r="E40" s="78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8"/>
      <c r="R40" s="77"/>
      <c r="S40" s="78"/>
      <c r="T40" s="77"/>
    </row>
    <row r="41" spans="1:20" x14ac:dyDescent="0.2">
      <c r="A41" s="77"/>
      <c r="B41" s="77"/>
      <c r="C41" s="77"/>
      <c r="D41" s="78"/>
      <c r="E41" s="78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8"/>
      <c r="R41" s="77"/>
      <c r="S41" s="78"/>
      <c r="T41" s="77"/>
    </row>
    <row r="42" spans="1:20" x14ac:dyDescent="0.2">
      <c r="A42" s="77"/>
      <c r="B42" s="77"/>
      <c r="C42" s="77"/>
      <c r="D42" s="78"/>
      <c r="E42" s="78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8"/>
      <c r="R42" s="77"/>
      <c r="S42" s="78"/>
      <c r="T42" s="77"/>
    </row>
    <row r="43" spans="1:20" x14ac:dyDescent="0.2">
      <c r="A43" s="77"/>
      <c r="B43" s="77"/>
      <c r="C43" s="77"/>
      <c r="D43" s="78"/>
      <c r="E43" s="78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8"/>
      <c r="R43" s="77"/>
      <c r="S43" s="78"/>
      <c r="T43" s="77"/>
    </row>
    <row r="44" spans="1:20" x14ac:dyDescent="0.2">
      <c r="A44" s="77"/>
      <c r="B44" s="77"/>
      <c r="C44" s="77"/>
      <c r="D44" s="78"/>
      <c r="E44" s="78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8"/>
      <c r="R44" s="77"/>
      <c r="S44" s="78"/>
      <c r="T44" s="77"/>
    </row>
    <row r="45" spans="1:20" x14ac:dyDescent="0.2">
      <c r="A45" s="77"/>
      <c r="B45" s="77"/>
      <c r="C45" s="77"/>
      <c r="D45" s="78"/>
      <c r="E45" s="78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8"/>
      <c r="R45" s="77"/>
      <c r="S45" s="78"/>
      <c r="T45" s="77"/>
    </row>
    <row r="46" spans="1:20" x14ac:dyDescent="0.2">
      <c r="A46" s="77"/>
      <c r="B46" s="77"/>
      <c r="C46" s="77"/>
      <c r="D46" s="78"/>
      <c r="E46" s="78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8"/>
      <c r="R46" s="77"/>
      <c r="S46" s="78"/>
      <c r="T46" s="77"/>
    </row>
    <row r="47" spans="1:20" x14ac:dyDescent="0.2">
      <c r="A47" s="77"/>
      <c r="B47" s="77"/>
      <c r="C47" s="77"/>
      <c r="D47" s="78"/>
      <c r="E47" s="78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8"/>
      <c r="R47" s="77"/>
      <c r="S47" s="78"/>
      <c r="T47" s="77"/>
    </row>
    <row r="48" spans="1:20" x14ac:dyDescent="0.2">
      <c r="A48" s="77"/>
      <c r="B48" s="77"/>
      <c r="C48" s="77"/>
      <c r="D48" s="78"/>
      <c r="E48" s="78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8"/>
      <c r="R48" s="77"/>
      <c r="S48" s="78"/>
      <c r="T48" s="77"/>
    </row>
    <row r="49" spans="1:20" x14ac:dyDescent="0.2">
      <c r="A49" s="77"/>
      <c r="B49" s="77"/>
      <c r="C49" s="77"/>
      <c r="D49" s="78"/>
      <c r="E49" s="78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8"/>
      <c r="R49" s="77"/>
      <c r="S49" s="78"/>
      <c r="T49" s="77"/>
    </row>
    <row r="50" spans="1:20" x14ac:dyDescent="0.2">
      <c r="A50" s="77"/>
      <c r="B50" s="77"/>
      <c r="C50" s="77"/>
      <c r="D50" s="78"/>
      <c r="E50" s="78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8"/>
      <c r="R50" s="77"/>
      <c r="S50" s="78"/>
      <c r="T50" s="77"/>
    </row>
    <row r="51" spans="1:20" x14ac:dyDescent="0.2">
      <c r="A51" s="77"/>
      <c r="B51" s="77"/>
      <c r="C51" s="77"/>
      <c r="D51" s="78"/>
      <c r="E51" s="78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8"/>
      <c r="R51" s="77"/>
      <c r="S51" s="78"/>
      <c r="T51" s="77"/>
    </row>
    <row r="52" spans="1:20" x14ac:dyDescent="0.2">
      <c r="A52" s="77"/>
      <c r="B52" s="77"/>
      <c r="C52" s="77"/>
      <c r="D52" s="78"/>
      <c r="E52" s="78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8"/>
      <c r="R52" s="77"/>
      <c r="S52" s="78"/>
      <c r="T52" s="77"/>
    </row>
    <row r="53" spans="1:20" x14ac:dyDescent="0.2">
      <c r="A53" s="77"/>
      <c r="B53" s="77"/>
      <c r="C53" s="77"/>
      <c r="D53" s="78"/>
      <c r="E53" s="78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8"/>
      <c r="R53" s="77"/>
      <c r="S53" s="78"/>
      <c r="T53" s="77"/>
    </row>
    <row r="54" spans="1:20" x14ac:dyDescent="0.2">
      <c r="A54" s="77"/>
      <c r="B54" s="77"/>
      <c r="C54" s="77"/>
      <c r="D54" s="78"/>
      <c r="E54" s="78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8"/>
      <c r="R54" s="77"/>
      <c r="S54" s="78"/>
      <c r="T54" s="77"/>
    </row>
    <row r="55" spans="1:20" x14ac:dyDescent="0.2">
      <c r="A55" s="77"/>
      <c r="B55" s="77"/>
      <c r="C55" s="77"/>
      <c r="D55" s="78"/>
      <c r="E55" s="78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8"/>
      <c r="R55" s="77"/>
      <c r="S55" s="78"/>
      <c r="T55" s="77"/>
    </row>
    <row r="56" spans="1:20" x14ac:dyDescent="0.2">
      <c r="A56" s="77"/>
      <c r="B56" s="77"/>
      <c r="C56" s="77"/>
      <c r="D56" s="78"/>
      <c r="E56" s="78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8"/>
      <c r="R56" s="77"/>
      <c r="S56" s="78"/>
      <c r="T56" s="77"/>
    </row>
    <row r="57" spans="1:20" x14ac:dyDescent="0.2">
      <c r="A57" s="77"/>
      <c r="B57" s="77"/>
      <c r="C57" s="77"/>
      <c r="D57" s="78"/>
      <c r="E57" s="78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8"/>
      <c r="R57" s="77"/>
      <c r="S57" s="78"/>
      <c r="T57" s="77"/>
    </row>
    <row r="58" spans="1:20" x14ac:dyDescent="0.2">
      <c r="A58" s="77"/>
      <c r="B58" s="77"/>
      <c r="C58" s="77"/>
      <c r="D58" s="78"/>
      <c r="E58" s="78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8"/>
      <c r="R58" s="77"/>
      <c r="S58" s="78"/>
      <c r="T58" s="77"/>
    </row>
    <row r="59" spans="1:20" x14ac:dyDescent="0.2">
      <c r="A59" s="77"/>
      <c r="B59" s="77"/>
      <c r="C59" s="77"/>
      <c r="D59" s="78"/>
      <c r="E59" s="78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8"/>
      <c r="R59" s="77"/>
      <c r="S59" s="78"/>
      <c r="T59" s="77"/>
    </row>
    <row r="60" spans="1:20" x14ac:dyDescent="0.2">
      <c r="A60" s="77"/>
      <c r="B60" s="77"/>
      <c r="C60" s="77"/>
      <c r="D60" s="78"/>
      <c r="E60" s="78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8"/>
      <c r="R60" s="77"/>
      <c r="S60" s="78"/>
    </row>
    <row r="61" spans="1:20" x14ac:dyDescent="0.2">
      <c r="A61" s="77"/>
      <c r="B61" s="77"/>
      <c r="C61" s="77"/>
      <c r="D61" s="78"/>
      <c r="E61" s="78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8"/>
      <c r="R61" s="77"/>
      <c r="S61" s="78"/>
    </row>
    <row r="62" spans="1:20" x14ac:dyDescent="0.2">
      <c r="A62" s="77"/>
      <c r="B62" s="77"/>
      <c r="C62" s="77"/>
      <c r="D62" s="78"/>
      <c r="E62" s="78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8"/>
      <c r="R62" s="77"/>
      <c r="S62" s="78"/>
    </row>
    <row r="63" spans="1:20" x14ac:dyDescent="0.2">
      <c r="A63" s="77"/>
      <c r="B63" s="77"/>
      <c r="C63" s="77"/>
      <c r="D63" s="78"/>
      <c r="E63" s="78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8"/>
      <c r="R63" s="77"/>
      <c r="S63" s="78"/>
    </row>
    <row r="64" spans="1:20" x14ac:dyDescent="0.2">
      <c r="A64" s="77"/>
      <c r="B64" s="77"/>
      <c r="C64" s="77"/>
      <c r="D64" s="78"/>
      <c r="E64" s="78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8"/>
      <c r="R64" s="77"/>
      <c r="S64" s="78"/>
    </row>
    <row r="65" spans="1:19" x14ac:dyDescent="0.2">
      <c r="A65" s="77"/>
      <c r="B65" s="77"/>
      <c r="C65" s="77"/>
      <c r="D65" s="78"/>
      <c r="E65" s="78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8"/>
      <c r="R65" s="77"/>
      <c r="S65" s="78"/>
    </row>
    <row r="66" spans="1:19" x14ac:dyDescent="0.2">
      <c r="A66" s="77"/>
      <c r="B66" s="77"/>
      <c r="C66" s="77"/>
      <c r="D66" s="78"/>
      <c r="E66" s="78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8"/>
      <c r="R66" s="77"/>
      <c r="S66" s="78"/>
    </row>
    <row r="67" spans="1:19" x14ac:dyDescent="0.2">
      <c r="A67" s="77"/>
      <c r="B67" s="77"/>
      <c r="C67" s="77"/>
      <c r="D67" s="78"/>
      <c r="E67" s="78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8"/>
      <c r="R67" s="77"/>
      <c r="S67" s="78"/>
    </row>
    <row r="68" spans="1:19" x14ac:dyDescent="0.2">
      <c r="A68" s="77"/>
      <c r="B68" s="77"/>
      <c r="C68" s="77"/>
      <c r="D68" s="78"/>
      <c r="E68" s="78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8"/>
      <c r="R68" s="77"/>
      <c r="S68" s="78"/>
    </row>
    <row r="69" spans="1:19" x14ac:dyDescent="0.2">
      <c r="A69" s="77"/>
      <c r="B69" s="77"/>
      <c r="C69" s="77"/>
      <c r="D69" s="78"/>
      <c r="E69" s="78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8"/>
      <c r="R69" s="77"/>
      <c r="S69" s="78"/>
    </row>
    <row r="70" spans="1:19" x14ac:dyDescent="0.2">
      <c r="A70" s="77"/>
      <c r="B70" s="77"/>
      <c r="C70" s="77"/>
      <c r="D70" s="78"/>
      <c r="E70" s="78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8"/>
      <c r="R70" s="77"/>
      <c r="S70" s="78"/>
    </row>
    <row r="71" spans="1:19" x14ac:dyDescent="0.2">
      <c r="A71" s="77"/>
      <c r="B71" s="77"/>
      <c r="C71" s="77"/>
      <c r="D71" s="78"/>
      <c r="E71" s="78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8"/>
      <c r="R71" s="77"/>
      <c r="S71" s="78"/>
    </row>
    <row r="72" spans="1:19" x14ac:dyDescent="0.2">
      <c r="A72" s="77"/>
      <c r="B72" s="77"/>
      <c r="C72" s="77"/>
      <c r="D72" s="78"/>
      <c r="E72" s="78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8"/>
      <c r="R72" s="77"/>
      <c r="S72" s="78"/>
    </row>
    <row r="73" spans="1:19" x14ac:dyDescent="0.2">
      <c r="A73" s="77"/>
      <c r="B73" s="77"/>
      <c r="C73" s="77"/>
      <c r="D73" s="78"/>
      <c r="E73" s="78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8"/>
      <c r="R73" s="77"/>
      <c r="S73" s="78"/>
    </row>
    <row r="74" spans="1:19" x14ac:dyDescent="0.2">
      <c r="A74" s="77"/>
      <c r="B74" s="77"/>
      <c r="C74" s="77"/>
      <c r="D74" s="78"/>
      <c r="E74" s="78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8"/>
      <c r="R74" s="77"/>
      <c r="S74" s="78"/>
    </row>
    <row r="75" spans="1:19" x14ac:dyDescent="0.2">
      <c r="A75" s="77"/>
      <c r="B75" s="77"/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8"/>
    </row>
    <row r="76" spans="1:19" x14ac:dyDescent="0.2">
      <c r="A76" s="77"/>
      <c r="B76" s="77"/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8"/>
    </row>
  </sheetData>
  <autoFilter ref="A2:S2"/>
  <sortState ref="A3:S76">
    <sortCondition ref="S28"/>
  </sortState>
  <mergeCells count="1">
    <mergeCell ref="A1:E1"/>
  </mergeCells>
  <conditionalFormatting sqref="L1:L1048576">
    <cfRule type="duplicateValues" dxfId="17" priority="5"/>
    <cfRule type="duplicateValues" dxfId="16" priority="3"/>
  </conditionalFormatting>
  <conditionalFormatting sqref="M1:M1048576">
    <cfRule type="duplicateValues" dxfId="15" priority="4"/>
    <cfRule type="duplicateValues" dxfId="14" priority="1"/>
  </conditionalFormatting>
  <conditionalFormatting sqref="A1:A1048576">
    <cfRule type="duplicateValues" dxfId="13" priority="2"/>
  </conditionalFormatting>
  <pageMargins left="0.18" right="0.38" top="0.51" bottom="0.34" header="0.3" footer="0.3"/>
  <pageSetup scale="97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topLeftCell="B1" zoomScale="85" zoomScaleNormal="85" workbookViewId="0">
      <selection activeCell="D1" sqref="D1"/>
    </sheetView>
  </sheetViews>
  <sheetFormatPr baseColWidth="10" defaultRowHeight="15" x14ac:dyDescent="0.2"/>
  <cols>
    <col min="1" max="1" width="11.42578125" style="17" customWidth="1"/>
    <col min="2" max="2" width="21.42578125" style="17" customWidth="1"/>
    <col min="3" max="3" width="24.42578125" style="17" customWidth="1"/>
    <col min="4" max="4" width="27.28515625" style="17" customWidth="1"/>
    <col min="5" max="5" width="24.42578125" style="17" customWidth="1"/>
    <col min="6" max="6" width="14.85546875" style="17" customWidth="1"/>
    <col min="7" max="7" width="13" style="17" customWidth="1"/>
    <col min="8" max="8" width="10.140625" style="17" customWidth="1"/>
    <col min="9" max="10" width="11.42578125" style="17"/>
    <col min="11" max="11" width="11.42578125" style="23"/>
    <col min="12" max="12" width="71.7109375" style="16" bestFit="1" customWidth="1"/>
    <col min="13" max="13" width="18.140625" style="17" customWidth="1"/>
    <col min="14" max="14" width="27.28515625" style="17" customWidth="1"/>
    <col min="15" max="16" width="11.42578125" style="17" customWidth="1"/>
    <col min="17" max="17" width="11.42578125" style="17"/>
    <col min="18" max="18" width="27.42578125" style="17" customWidth="1"/>
    <col min="19" max="19" width="33.28515625" style="17" customWidth="1"/>
    <col min="20" max="20" width="20.7109375" style="17" customWidth="1"/>
    <col min="21" max="21" width="11.42578125" style="17"/>
    <col min="22" max="22" width="17.42578125" style="17" customWidth="1"/>
    <col min="23" max="23" width="22.140625" style="17" customWidth="1"/>
    <col min="24" max="24" width="11.42578125" style="17"/>
    <col min="25" max="25" width="50.28515625" style="17" customWidth="1"/>
    <col min="26" max="26" width="42.140625" style="17" customWidth="1"/>
    <col min="27" max="27" width="23.5703125" style="17" customWidth="1"/>
    <col min="28" max="28" width="23.85546875" style="17" customWidth="1"/>
    <col min="29" max="29" width="21.42578125" style="17" customWidth="1"/>
    <col min="30" max="30" width="25.7109375" style="17" customWidth="1"/>
    <col min="31" max="31" width="27.140625" style="17" customWidth="1"/>
    <col min="32" max="32" width="22.28515625" style="17" customWidth="1"/>
    <col min="33" max="33" width="22.7109375" style="17" customWidth="1"/>
    <col min="34" max="48" width="11.42578125" style="17"/>
    <col min="49" max="49" width="15.28515625" style="17" customWidth="1"/>
    <col min="50" max="50" width="18" style="17" customWidth="1"/>
    <col min="51" max="51" width="21.7109375" style="17" customWidth="1"/>
    <col min="52" max="52" width="24.42578125" style="17" customWidth="1"/>
    <col min="53" max="53" width="20" style="17" customWidth="1"/>
    <col min="54" max="54" width="16" style="17" customWidth="1"/>
    <col min="55" max="55" width="22" style="17" customWidth="1"/>
    <col min="56" max="16384" width="11.42578125" style="17"/>
  </cols>
  <sheetData>
    <row r="1" spans="1:56" ht="15.75" x14ac:dyDescent="0.2">
      <c r="A1" s="132" t="s">
        <v>316</v>
      </c>
      <c r="B1" s="132"/>
      <c r="C1" s="132"/>
      <c r="D1" s="85" t="s">
        <v>434</v>
      </c>
      <c r="E1" s="85"/>
      <c r="F1" s="131"/>
      <c r="G1" s="131"/>
      <c r="H1" s="86"/>
      <c r="I1" s="15"/>
      <c r="J1" s="15"/>
      <c r="K1" s="22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21"/>
      <c r="BA1" s="15"/>
      <c r="BB1" s="15"/>
      <c r="BC1" s="15"/>
      <c r="BD1" s="15"/>
    </row>
    <row r="2" spans="1:56" x14ac:dyDescent="0.2">
      <c r="A2" s="19" t="s">
        <v>379</v>
      </c>
      <c r="B2" s="19" t="s">
        <v>380</v>
      </c>
      <c r="C2" s="19" t="s">
        <v>381</v>
      </c>
      <c r="D2" s="20" t="s">
        <v>382</v>
      </c>
      <c r="E2" s="15" t="s">
        <v>383</v>
      </c>
      <c r="F2" s="15" t="s">
        <v>329</v>
      </c>
      <c r="G2" s="15" t="s">
        <v>330</v>
      </c>
      <c r="H2" s="15" t="s">
        <v>331</v>
      </c>
      <c r="I2" s="15" t="s">
        <v>332</v>
      </c>
      <c r="J2" s="15" t="s">
        <v>333</v>
      </c>
      <c r="K2" s="22" t="s">
        <v>334</v>
      </c>
      <c r="L2" s="15" t="s">
        <v>335</v>
      </c>
      <c r="M2" s="15" t="s">
        <v>336</v>
      </c>
      <c r="N2" s="15" t="s">
        <v>337</v>
      </c>
      <c r="O2" s="15" t="s">
        <v>338</v>
      </c>
      <c r="P2" s="15" t="s">
        <v>339</v>
      </c>
      <c r="Q2" s="15" t="s">
        <v>340</v>
      </c>
      <c r="R2" s="15" t="s">
        <v>341</v>
      </c>
      <c r="S2" s="15" t="s">
        <v>342</v>
      </c>
      <c r="T2" s="15" t="s">
        <v>343</v>
      </c>
      <c r="U2" s="15" t="s">
        <v>344</v>
      </c>
      <c r="V2" s="15" t="s">
        <v>345</v>
      </c>
      <c r="W2" s="15" t="s">
        <v>346</v>
      </c>
      <c r="X2" s="15" t="s">
        <v>347</v>
      </c>
      <c r="Y2" s="15" t="s">
        <v>348</v>
      </c>
      <c r="Z2" s="15" t="s">
        <v>349</v>
      </c>
      <c r="AA2" s="15" t="s">
        <v>350</v>
      </c>
      <c r="AB2" s="15" t="s">
        <v>351</v>
      </c>
      <c r="AC2" s="15" t="s">
        <v>352</v>
      </c>
      <c r="AD2" s="15" t="s">
        <v>353</v>
      </c>
      <c r="AE2" s="15" t="s">
        <v>354</v>
      </c>
      <c r="AF2" s="15" t="s">
        <v>355</v>
      </c>
      <c r="AG2" s="15" t="s">
        <v>356</v>
      </c>
      <c r="AH2" s="15" t="s">
        <v>357</v>
      </c>
      <c r="AI2" s="15" t="s">
        <v>358</v>
      </c>
      <c r="AJ2" s="15" t="s">
        <v>359</v>
      </c>
      <c r="AK2" s="15" t="s">
        <v>360</v>
      </c>
      <c r="AL2" s="15" t="s">
        <v>361</v>
      </c>
      <c r="AM2" s="15" t="s">
        <v>362</v>
      </c>
      <c r="AN2" s="15" t="s">
        <v>363</v>
      </c>
      <c r="AO2" s="15" t="s">
        <v>364</v>
      </c>
      <c r="AP2" s="15" t="s">
        <v>365</v>
      </c>
      <c r="AQ2" s="15" t="s">
        <v>366</v>
      </c>
      <c r="AR2" s="15" t="s">
        <v>367</v>
      </c>
      <c r="AS2" s="15" t="s">
        <v>368</v>
      </c>
      <c r="AT2" s="15" t="s">
        <v>369</v>
      </c>
      <c r="AU2" s="15" t="s">
        <v>370</v>
      </c>
      <c r="AV2" s="15" t="s">
        <v>371</v>
      </c>
      <c r="AW2" s="15" t="s">
        <v>372</v>
      </c>
      <c r="AX2" s="15" t="s">
        <v>373</v>
      </c>
      <c r="AY2" s="15" t="s">
        <v>374</v>
      </c>
      <c r="AZ2" s="21" t="s">
        <v>375</v>
      </c>
      <c r="BA2" s="15" t="s">
        <v>376</v>
      </c>
      <c r="BB2" s="15" t="s">
        <v>377</v>
      </c>
      <c r="BC2" s="15" t="s">
        <v>378</v>
      </c>
      <c r="BD2" s="15" t="s">
        <v>111</v>
      </c>
    </row>
    <row r="3" spans="1:56" s="18" customFormat="1" ht="16.5" customHeight="1" x14ac:dyDescent="0.2">
      <c r="A3" s="86"/>
      <c r="B3" s="86"/>
      <c r="C3" s="86"/>
      <c r="D3" s="86"/>
      <c r="E3" s="86"/>
      <c r="F3" s="86"/>
      <c r="G3" s="86"/>
      <c r="H3" s="86"/>
      <c r="I3" s="86"/>
      <c r="J3" s="86"/>
      <c r="K3" s="87"/>
      <c r="L3" s="88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</row>
    <row r="4" spans="1:56" s="18" customFormat="1" x14ac:dyDescent="0.2">
      <c r="A4" s="86"/>
      <c r="B4" s="86"/>
      <c r="C4" s="86"/>
      <c r="D4" s="86"/>
      <c r="E4" s="86"/>
      <c r="F4" s="86"/>
      <c r="G4" s="86"/>
      <c r="H4" s="86"/>
      <c r="I4" s="86"/>
      <c r="J4" s="86"/>
      <c r="K4" s="87"/>
      <c r="L4" s="88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</row>
    <row r="5" spans="1:56" s="18" customFormat="1" ht="15.75" customHeight="1" x14ac:dyDescent="0.2">
      <c r="A5" s="86"/>
      <c r="B5" s="86"/>
      <c r="C5" s="86"/>
      <c r="D5" s="86"/>
      <c r="E5" s="86"/>
      <c r="F5" s="86"/>
      <c r="G5" s="86"/>
      <c r="H5" s="86"/>
      <c r="I5" s="86"/>
      <c r="J5" s="86"/>
      <c r="K5" s="87"/>
      <c r="L5" s="88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</row>
    <row r="6" spans="1:56" s="18" customFormat="1" x14ac:dyDescent="0.2">
      <c r="A6" s="86"/>
      <c r="B6" s="86"/>
      <c r="C6" s="86"/>
      <c r="D6" s="86"/>
      <c r="E6" s="86"/>
      <c r="F6" s="86"/>
      <c r="G6" s="86"/>
      <c r="H6" s="86"/>
      <c r="I6" s="86"/>
      <c r="J6" s="86"/>
      <c r="K6" s="87"/>
      <c r="L6" s="88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</row>
    <row r="7" spans="1:56" s="18" customFormat="1" x14ac:dyDescent="0.2">
      <c r="A7" s="86"/>
      <c r="B7" s="86"/>
      <c r="C7" s="86"/>
      <c r="D7" s="86"/>
      <c r="E7" s="86"/>
      <c r="F7" s="86"/>
      <c r="G7" s="86"/>
      <c r="H7" s="86"/>
      <c r="I7" s="86"/>
      <c r="J7" s="86"/>
      <c r="K7" s="87"/>
      <c r="L7" s="88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</row>
    <row r="8" spans="1:56" s="18" customFormat="1" ht="15.75" customHeight="1" x14ac:dyDescent="0.2">
      <c r="A8" s="86"/>
      <c r="B8" s="86"/>
      <c r="C8" s="86"/>
      <c r="D8" s="86"/>
      <c r="E8" s="86"/>
      <c r="F8" s="86"/>
      <c r="G8" s="86"/>
      <c r="H8" s="86"/>
      <c r="I8" s="86"/>
      <c r="J8" s="86"/>
      <c r="K8" s="87"/>
      <c r="L8" s="88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</row>
    <row r="9" spans="1:56" s="18" customFormat="1" ht="15" customHeight="1" x14ac:dyDescent="0.2">
      <c r="A9" s="86"/>
      <c r="B9" s="86"/>
      <c r="C9" s="86"/>
      <c r="D9" s="86"/>
      <c r="E9" s="86"/>
      <c r="F9" s="86"/>
      <c r="G9" s="86"/>
      <c r="H9" s="86"/>
      <c r="I9" s="86"/>
      <c r="J9" s="86"/>
      <c r="K9" s="87"/>
      <c r="L9" s="88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</row>
    <row r="10" spans="1:56" s="18" customFormat="1" ht="15.75" customHeight="1" x14ac:dyDescent="0.2">
      <c r="A10" s="86"/>
      <c r="B10" s="86"/>
      <c r="C10" s="86"/>
      <c r="D10" s="86"/>
      <c r="E10" s="86"/>
      <c r="F10" s="86"/>
      <c r="G10" s="86"/>
      <c r="H10" s="86"/>
      <c r="I10" s="86"/>
      <c r="J10" s="86"/>
      <c r="K10" s="87"/>
      <c r="L10" s="88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</row>
    <row r="11" spans="1:56" s="18" customFormat="1" ht="15.75" customHeight="1" x14ac:dyDescent="0.2">
      <c r="A11" s="86"/>
      <c r="B11" s="86"/>
      <c r="C11" s="86"/>
      <c r="D11" s="86"/>
      <c r="E11" s="86"/>
      <c r="F11" s="86"/>
      <c r="G11" s="86"/>
      <c r="H11" s="86"/>
      <c r="I11" s="86"/>
      <c r="J11" s="86"/>
      <c r="K11" s="87"/>
      <c r="L11" s="88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</row>
    <row r="12" spans="1:56" s="18" customFormat="1" ht="16.5" customHeight="1" x14ac:dyDescent="0.2">
      <c r="A12" s="86"/>
      <c r="B12" s="86"/>
      <c r="C12" s="86"/>
      <c r="D12" s="86"/>
      <c r="E12" s="86"/>
      <c r="F12" s="86"/>
      <c r="G12" s="86"/>
      <c r="H12" s="86"/>
      <c r="I12" s="86"/>
      <c r="J12" s="86"/>
      <c r="K12" s="87"/>
      <c r="L12" s="88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</row>
    <row r="13" spans="1:56" s="18" customFormat="1" x14ac:dyDescent="0.2">
      <c r="A13" s="86"/>
      <c r="B13" s="86"/>
      <c r="C13" s="86"/>
      <c r="D13" s="86"/>
      <c r="E13" s="86"/>
      <c r="F13" s="86"/>
      <c r="G13" s="86"/>
      <c r="H13" s="86"/>
      <c r="I13" s="86"/>
      <c r="J13" s="86"/>
      <c r="K13" s="87"/>
      <c r="L13" s="88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6"/>
      <c r="AW13" s="86"/>
      <c r="AX13" s="86"/>
      <c r="AY13" s="86"/>
      <c r="AZ13" s="86"/>
      <c r="BA13" s="86"/>
      <c r="BB13" s="86"/>
      <c r="BC13" s="86"/>
      <c r="BD13" s="86"/>
    </row>
    <row r="14" spans="1:56" s="18" customFormat="1" x14ac:dyDescent="0.2">
      <c r="A14" s="86"/>
      <c r="B14" s="86"/>
      <c r="C14" s="86"/>
      <c r="D14" s="86"/>
      <c r="E14" s="86"/>
      <c r="F14" s="86"/>
      <c r="G14" s="86"/>
      <c r="H14" s="86"/>
      <c r="I14" s="86"/>
      <c r="J14" s="86"/>
      <c r="K14" s="87"/>
      <c r="L14" s="88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  <c r="AO14" s="86"/>
      <c r="AP14" s="86"/>
      <c r="AQ14" s="86"/>
      <c r="AR14" s="86"/>
      <c r="AS14" s="86"/>
      <c r="AT14" s="86"/>
      <c r="AU14" s="86"/>
      <c r="AV14" s="86"/>
      <c r="AW14" s="86"/>
      <c r="AX14" s="86"/>
      <c r="AY14" s="86"/>
      <c r="AZ14" s="86"/>
      <c r="BA14" s="86"/>
      <c r="BB14" s="86"/>
      <c r="BC14" s="86"/>
      <c r="BD14" s="86"/>
    </row>
    <row r="15" spans="1:56" s="18" customFormat="1" ht="14.25" customHeight="1" x14ac:dyDescent="0.2">
      <c r="A15" s="86"/>
      <c r="B15" s="86"/>
      <c r="C15" s="86"/>
      <c r="D15" s="86"/>
      <c r="E15" s="86"/>
      <c r="F15" s="86"/>
      <c r="G15" s="86"/>
      <c r="H15" s="86"/>
      <c r="I15" s="86"/>
      <c r="J15" s="86"/>
      <c r="K15" s="87"/>
      <c r="L15" s="88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6"/>
      <c r="AO15" s="86"/>
      <c r="AP15" s="86"/>
      <c r="AQ15" s="86"/>
      <c r="AR15" s="86"/>
      <c r="AS15" s="86"/>
      <c r="AT15" s="86"/>
      <c r="AU15" s="86"/>
      <c r="AV15" s="86"/>
      <c r="AW15" s="86"/>
      <c r="AX15" s="86"/>
      <c r="AY15" s="86"/>
      <c r="AZ15" s="86"/>
      <c r="BA15" s="86"/>
      <c r="BB15" s="86"/>
      <c r="BC15" s="86"/>
      <c r="BD15" s="86"/>
    </row>
    <row r="16" spans="1:56" s="18" customFormat="1" ht="13.5" customHeight="1" x14ac:dyDescent="0.2">
      <c r="A16" s="86"/>
      <c r="B16" s="86"/>
      <c r="C16" s="86"/>
      <c r="D16" s="86"/>
      <c r="E16" s="86"/>
      <c r="F16" s="86"/>
      <c r="G16" s="86"/>
      <c r="H16" s="86"/>
      <c r="I16" s="86"/>
      <c r="J16" s="86"/>
      <c r="K16" s="87"/>
      <c r="L16" s="88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  <c r="AM16" s="86"/>
      <c r="AN16" s="86"/>
      <c r="AO16" s="86"/>
      <c r="AP16" s="86"/>
      <c r="AQ16" s="86"/>
      <c r="AR16" s="86"/>
      <c r="AS16" s="86"/>
      <c r="AT16" s="86"/>
      <c r="AU16" s="86"/>
      <c r="AV16" s="86"/>
      <c r="AW16" s="86"/>
      <c r="AX16" s="86"/>
      <c r="AY16" s="86"/>
      <c r="AZ16" s="86"/>
      <c r="BA16" s="86"/>
      <c r="BB16" s="86"/>
      <c r="BC16" s="86"/>
      <c r="BD16" s="86"/>
    </row>
    <row r="17" spans="1:56" s="18" customFormat="1" x14ac:dyDescent="0.2">
      <c r="A17" s="86"/>
      <c r="B17" s="86"/>
      <c r="C17" s="86"/>
      <c r="D17" s="86"/>
      <c r="E17" s="86"/>
      <c r="F17" s="86"/>
      <c r="G17" s="86"/>
      <c r="H17" s="86"/>
      <c r="I17" s="86"/>
      <c r="J17" s="86"/>
      <c r="K17" s="87"/>
      <c r="L17" s="88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86"/>
      <c r="BD17" s="86"/>
    </row>
    <row r="18" spans="1:56" s="18" customFormat="1" x14ac:dyDescent="0.2">
      <c r="A18" s="86"/>
      <c r="B18" s="86"/>
      <c r="C18" s="86"/>
      <c r="D18" s="86"/>
      <c r="E18" s="86"/>
      <c r="F18" s="86"/>
      <c r="G18" s="86"/>
      <c r="H18" s="86"/>
      <c r="I18" s="86"/>
      <c r="J18" s="86"/>
      <c r="K18" s="87"/>
      <c r="L18" s="88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  <c r="AT18" s="86"/>
      <c r="AU18" s="86"/>
      <c r="AV18" s="86"/>
      <c r="AW18" s="86"/>
      <c r="AX18" s="86"/>
      <c r="AY18" s="86"/>
      <c r="AZ18" s="86"/>
      <c r="BA18" s="86"/>
      <c r="BB18" s="86"/>
      <c r="BC18" s="86"/>
      <c r="BD18" s="86"/>
    </row>
    <row r="19" spans="1:56" s="18" customFormat="1" x14ac:dyDescent="0.2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7"/>
      <c r="L19" s="88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6"/>
      <c r="AR19" s="86"/>
      <c r="AS19" s="86"/>
      <c r="AT19" s="86"/>
      <c r="AU19" s="86"/>
      <c r="AV19" s="86"/>
      <c r="AW19" s="86"/>
      <c r="AX19" s="86"/>
      <c r="AY19" s="86"/>
      <c r="AZ19" s="86"/>
      <c r="BA19" s="86"/>
      <c r="BB19" s="86"/>
      <c r="BC19" s="86"/>
      <c r="BD19" s="86"/>
    </row>
    <row r="20" spans="1:56" s="18" customFormat="1" x14ac:dyDescent="0.2">
      <c r="A20" s="86"/>
      <c r="B20" s="86"/>
      <c r="C20" s="86"/>
      <c r="D20" s="86"/>
      <c r="E20" s="86"/>
      <c r="F20" s="86"/>
      <c r="G20" s="86"/>
      <c r="H20" s="86"/>
      <c r="I20" s="86"/>
      <c r="J20" s="86"/>
      <c r="K20" s="87"/>
      <c r="L20" s="88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  <c r="AO20" s="86"/>
      <c r="AP20" s="86"/>
      <c r="AQ20" s="86"/>
      <c r="AR20" s="86"/>
      <c r="AS20" s="86"/>
      <c r="AT20" s="86"/>
      <c r="AU20" s="86"/>
      <c r="AV20" s="86"/>
      <c r="AW20" s="86"/>
      <c r="AX20" s="86"/>
      <c r="AY20" s="86"/>
      <c r="AZ20" s="86"/>
      <c r="BA20" s="86"/>
      <c r="BB20" s="86"/>
      <c r="BC20" s="86"/>
      <c r="BD20" s="86"/>
    </row>
    <row r="21" spans="1:56" s="18" customFormat="1" ht="15.75" customHeight="1" x14ac:dyDescent="0.2">
      <c r="A21" s="86"/>
      <c r="B21" s="86"/>
      <c r="C21" s="86"/>
      <c r="D21" s="86"/>
      <c r="E21" s="86"/>
      <c r="F21" s="86"/>
      <c r="G21" s="86"/>
      <c r="H21" s="86"/>
      <c r="I21" s="86"/>
      <c r="J21" s="86"/>
      <c r="K21" s="87"/>
      <c r="L21" s="88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  <c r="AT21" s="86"/>
      <c r="AU21" s="86"/>
      <c r="AV21" s="86"/>
      <c r="AW21" s="86"/>
      <c r="AX21" s="86"/>
      <c r="AY21" s="86"/>
      <c r="AZ21" s="86"/>
      <c r="BA21" s="86"/>
      <c r="BB21" s="86"/>
      <c r="BC21" s="86"/>
      <c r="BD21" s="86"/>
    </row>
    <row r="22" spans="1:56" s="18" customFormat="1" ht="15.75" customHeight="1" x14ac:dyDescent="0.2">
      <c r="A22" s="86"/>
      <c r="B22" s="86"/>
      <c r="C22" s="86"/>
      <c r="D22" s="86"/>
      <c r="E22" s="86"/>
      <c r="F22" s="86"/>
      <c r="G22" s="86"/>
      <c r="H22" s="86"/>
      <c r="I22" s="86"/>
      <c r="J22" s="86"/>
      <c r="K22" s="87"/>
      <c r="L22" s="88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6"/>
      <c r="AS22" s="86"/>
      <c r="AT22" s="86"/>
      <c r="AU22" s="86"/>
      <c r="AV22" s="86"/>
      <c r="AW22" s="86"/>
      <c r="AX22" s="86"/>
      <c r="AY22" s="86"/>
      <c r="AZ22" s="86"/>
      <c r="BA22" s="86"/>
      <c r="BB22" s="86"/>
      <c r="BC22" s="86"/>
      <c r="BD22" s="86"/>
    </row>
    <row r="23" spans="1:56" s="18" customFormat="1" x14ac:dyDescent="0.2">
      <c r="A23" s="86"/>
      <c r="B23" s="86"/>
      <c r="C23" s="86"/>
      <c r="D23" s="86"/>
      <c r="E23" s="86"/>
      <c r="F23" s="86"/>
      <c r="G23" s="86"/>
      <c r="H23" s="86"/>
      <c r="I23" s="86"/>
      <c r="J23" s="86"/>
      <c r="K23" s="87"/>
      <c r="L23" s="88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/>
      <c r="AQ23" s="86"/>
      <c r="AR23" s="86"/>
      <c r="AS23" s="86"/>
      <c r="AT23" s="86"/>
      <c r="AU23" s="86"/>
      <c r="AV23" s="86"/>
      <c r="AW23" s="86"/>
      <c r="AX23" s="86"/>
      <c r="AY23" s="86"/>
      <c r="AZ23" s="86"/>
      <c r="BA23" s="86"/>
      <c r="BB23" s="86"/>
      <c r="BC23" s="86"/>
      <c r="BD23" s="86"/>
    </row>
    <row r="24" spans="1:56" s="18" customFormat="1" x14ac:dyDescent="0.2">
      <c r="A24" s="86"/>
      <c r="B24" s="86"/>
      <c r="C24" s="86"/>
      <c r="D24" s="86"/>
      <c r="E24" s="86"/>
      <c r="F24" s="86"/>
      <c r="G24" s="86"/>
      <c r="H24" s="86"/>
      <c r="I24" s="86"/>
      <c r="J24" s="86"/>
      <c r="K24" s="87"/>
      <c r="L24" s="88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86"/>
      <c r="AS24" s="86"/>
      <c r="AT24" s="86"/>
      <c r="AU24" s="86"/>
      <c r="AV24" s="86"/>
      <c r="AW24" s="86"/>
      <c r="AX24" s="86"/>
      <c r="AY24" s="86"/>
      <c r="AZ24" s="86"/>
      <c r="BA24" s="86"/>
      <c r="BB24" s="86"/>
      <c r="BC24" s="86"/>
      <c r="BD24" s="86"/>
    </row>
    <row r="25" spans="1:56" s="18" customFormat="1" ht="15.75" customHeight="1" x14ac:dyDescent="0.2">
      <c r="A25" s="86"/>
      <c r="B25" s="86"/>
      <c r="C25" s="86"/>
      <c r="D25" s="86"/>
      <c r="E25" s="86"/>
      <c r="F25" s="86"/>
      <c r="G25" s="86"/>
      <c r="H25" s="86"/>
      <c r="I25" s="86"/>
      <c r="J25" s="86"/>
      <c r="K25" s="87"/>
      <c r="L25" s="88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/>
      <c r="AQ25" s="86"/>
      <c r="AR25" s="86"/>
      <c r="AS25" s="86"/>
      <c r="AT25" s="86"/>
      <c r="AU25" s="86"/>
      <c r="AV25" s="86"/>
      <c r="AW25" s="86"/>
      <c r="AX25" s="86"/>
      <c r="AY25" s="86"/>
      <c r="AZ25" s="86"/>
      <c r="BA25" s="86"/>
      <c r="BB25" s="86"/>
      <c r="BC25" s="86"/>
      <c r="BD25" s="86"/>
    </row>
    <row r="26" spans="1:56" s="18" customFormat="1" x14ac:dyDescent="0.2">
      <c r="A26" s="86"/>
      <c r="B26" s="86"/>
      <c r="C26" s="86"/>
      <c r="D26" s="86"/>
      <c r="E26" s="86"/>
      <c r="F26" s="86"/>
      <c r="G26" s="86"/>
      <c r="H26" s="86"/>
      <c r="I26" s="86"/>
      <c r="J26" s="86"/>
      <c r="K26" s="87"/>
      <c r="L26" s="88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  <c r="AO26" s="86"/>
      <c r="AP26" s="86"/>
      <c r="AQ26" s="86"/>
      <c r="AR26" s="86"/>
      <c r="AS26" s="86"/>
      <c r="AT26" s="86"/>
      <c r="AU26" s="86"/>
      <c r="AV26" s="86"/>
      <c r="AW26" s="86"/>
      <c r="AX26" s="86"/>
      <c r="AY26" s="86"/>
      <c r="AZ26" s="86"/>
      <c r="BA26" s="86"/>
      <c r="BB26" s="86"/>
      <c r="BC26" s="86"/>
      <c r="BD26" s="86"/>
    </row>
    <row r="27" spans="1:56" s="18" customFormat="1" ht="15.75" customHeight="1" x14ac:dyDescent="0.2">
      <c r="A27" s="86"/>
      <c r="B27" s="86"/>
      <c r="C27" s="86"/>
      <c r="D27" s="86"/>
      <c r="E27" s="86"/>
      <c r="F27" s="86"/>
      <c r="G27" s="86"/>
      <c r="H27" s="86"/>
      <c r="I27" s="86"/>
      <c r="J27" s="86"/>
      <c r="K27" s="87"/>
      <c r="L27" s="88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6"/>
      <c r="AP27" s="86"/>
      <c r="AQ27" s="86"/>
      <c r="AR27" s="86"/>
      <c r="AS27" s="86"/>
      <c r="AT27" s="86"/>
      <c r="AU27" s="86"/>
      <c r="AV27" s="86"/>
      <c r="AW27" s="86"/>
      <c r="AX27" s="86"/>
      <c r="AY27" s="86"/>
      <c r="AZ27" s="86"/>
      <c r="BA27" s="86"/>
      <c r="BB27" s="86"/>
      <c r="BC27" s="86"/>
      <c r="BD27" s="86"/>
    </row>
    <row r="28" spans="1:56" s="18" customFormat="1" ht="14.25" customHeight="1" x14ac:dyDescent="0.2">
      <c r="A28" s="86"/>
      <c r="B28" s="86"/>
      <c r="C28" s="86"/>
      <c r="D28" s="86"/>
      <c r="E28" s="86"/>
      <c r="F28" s="86"/>
      <c r="G28" s="86"/>
      <c r="H28" s="86"/>
      <c r="I28" s="86"/>
      <c r="J28" s="86"/>
      <c r="K28" s="87"/>
      <c r="L28" s="88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  <c r="AO28" s="86"/>
      <c r="AP28" s="86"/>
      <c r="AQ28" s="86"/>
      <c r="AR28" s="86"/>
      <c r="AS28" s="86"/>
      <c r="AT28" s="86"/>
      <c r="AU28" s="86"/>
      <c r="AV28" s="86"/>
      <c r="AW28" s="86"/>
      <c r="AX28" s="86"/>
      <c r="AY28" s="86"/>
      <c r="AZ28" s="86"/>
      <c r="BA28" s="86"/>
      <c r="BB28" s="86"/>
      <c r="BC28" s="86"/>
      <c r="BD28" s="86"/>
    </row>
    <row r="29" spans="1:56" s="18" customFormat="1" x14ac:dyDescent="0.2">
      <c r="A29" s="86"/>
      <c r="B29" s="86"/>
      <c r="C29" s="86"/>
      <c r="D29" s="86"/>
      <c r="E29" s="86"/>
      <c r="F29" s="86"/>
      <c r="G29" s="86"/>
      <c r="H29" s="86"/>
      <c r="I29" s="86"/>
      <c r="J29" s="86"/>
      <c r="K29" s="87"/>
      <c r="L29" s="88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  <c r="AO29" s="86"/>
      <c r="AP29" s="86"/>
      <c r="AQ29" s="86"/>
      <c r="AR29" s="86"/>
      <c r="AS29" s="86"/>
      <c r="AT29" s="86"/>
      <c r="AU29" s="86"/>
      <c r="AV29" s="86"/>
      <c r="AW29" s="86"/>
      <c r="AX29" s="86"/>
      <c r="AY29" s="86"/>
      <c r="AZ29" s="86"/>
      <c r="BA29" s="86"/>
      <c r="BB29" s="86"/>
      <c r="BC29" s="86"/>
      <c r="BD29" s="86"/>
    </row>
    <row r="30" spans="1:56" s="18" customFormat="1" ht="15" customHeight="1" x14ac:dyDescent="0.2">
      <c r="A30" s="86"/>
      <c r="B30" s="86"/>
      <c r="C30" s="86"/>
      <c r="D30" s="86"/>
      <c r="E30" s="86"/>
      <c r="F30" s="86"/>
      <c r="G30" s="86"/>
      <c r="H30" s="86"/>
      <c r="I30" s="86"/>
      <c r="J30" s="86"/>
      <c r="K30" s="87"/>
      <c r="L30" s="88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6"/>
      <c r="AP30" s="86"/>
      <c r="AQ30" s="86"/>
      <c r="AR30" s="86"/>
      <c r="AS30" s="86"/>
      <c r="AT30" s="86"/>
      <c r="AU30" s="86"/>
      <c r="AV30" s="86"/>
      <c r="AW30" s="86"/>
      <c r="AX30" s="86"/>
      <c r="AY30" s="86"/>
      <c r="AZ30" s="86"/>
      <c r="BA30" s="86"/>
      <c r="BB30" s="86"/>
      <c r="BC30" s="86"/>
      <c r="BD30" s="86"/>
    </row>
    <row r="31" spans="1:56" s="18" customFormat="1" x14ac:dyDescent="0.2">
      <c r="A31" s="86"/>
      <c r="B31" s="86"/>
      <c r="C31" s="86"/>
      <c r="D31" s="86"/>
      <c r="E31" s="86"/>
      <c r="F31" s="86"/>
      <c r="G31" s="86"/>
      <c r="H31" s="86"/>
      <c r="I31" s="86"/>
      <c r="J31" s="86"/>
      <c r="K31" s="87"/>
      <c r="L31" s="88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  <c r="AO31" s="86"/>
      <c r="AP31" s="86"/>
      <c r="AQ31" s="86"/>
      <c r="AR31" s="86"/>
      <c r="AS31" s="86"/>
      <c r="AT31" s="86"/>
      <c r="AU31" s="86"/>
      <c r="AV31" s="86"/>
      <c r="AW31" s="86"/>
      <c r="AX31" s="86"/>
      <c r="AY31" s="86"/>
      <c r="AZ31" s="86"/>
      <c r="BA31" s="86"/>
      <c r="BB31" s="86"/>
      <c r="BC31" s="86"/>
      <c r="BD31" s="86"/>
    </row>
    <row r="32" spans="1:56" s="18" customFormat="1" x14ac:dyDescent="0.2">
      <c r="A32" s="86"/>
      <c r="B32" s="86"/>
      <c r="C32" s="86"/>
      <c r="D32" s="86"/>
      <c r="E32" s="86"/>
      <c r="F32" s="86"/>
      <c r="G32" s="86"/>
      <c r="H32" s="86"/>
      <c r="I32" s="86"/>
      <c r="J32" s="86"/>
      <c r="K32" s="87"/>
      <c r="L32" s="88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6"/>
      <c r="AP32" s="86"/>
      <c r="AQ32" s="86"/>
      <c r="AR32" s="86"/>
      <c r="AS32" s="86"/>
      <c r="AT32" s="86"/>
      <c r="AU32" s="86"/>
      <c r="AV32" s="86"/>
      <c r="AW32" s="86"/>
      <c r="AX32" s="86"/>
      <c r="AY32" s="86"/>
      <c r="AZ32" s="86"/>
      <c r="BA32" s="86"/>
      <c r="BB32" s="86"/>
      <c r="BC32" s="86"/>
      <c r="BD32" s="86"/>
    </row>
    <row r="33" spans="1:56" s="18" customFormat="1" ht="17.25" customHeight="1" x14ac:dyDescent="0.2">
      <c r="A33" s="86"/>
      <c r="B33" s="86"/>
      <c r="C33" s="86"/>
      <c r="D33" s="86"/>
      <c r="E33" s="86"/>
      <c r="F33" s="86"/>
      <c r="G33" s="86"/>
      <c r="H33" s="86"/>
      <c r="I33" s="86"/>
      <c r="J33" s="86"/>
      <c r="K33" s="87"/>
      <c r="L33" s="88"/>
      <c r="M33" s="86"/>
      <c r="N33" s="86"/>
      <c r="O33" s="86"/>
      <c r="P33" s="86"/>
      <c r="Q33" s="86"/>
      <c r="R33" s="86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  <c r="AI33" s="86"/>
      <c r="AJ33" s="86"/>
      <c r="AK33" s="86"/>
      <c r="AL33" s="86"/>
      <c r="AM33" s="86"/>
      <c r="AN33" s="86"/>
      <c r="AO33" s="86"/>
      <c r="AP33" s="86"/>
      <c r="AQ33" s="86"/>
      <c r="AR33" s="86"/>
      <c r="AS33" s="86"/>
      <c r="AT33" s="86"/>
      <c r="AU33" s="86"/>
      <c r="AV33" s="86"/>
      <c r="AW33" s="86"/>
      <c r="AX33" s="86"/>
      <c r="AY33" s="86"/>
      <c r="AZ33" s="86"/>
      <c r="BA33" s="86"/>
      <c r="BB33" s="86"/>
      <c r="BC33" s="86"/>
      <c r="BD33" s="86"/>
    </row>
    <row r="34" spans="1:56" s="18" customFormat="1" ht="14.25" customHeight="1" x14ac:dyDescent="0.2">
      <c r="A34" s="86"/>
      <c r="B34" s="86"/>
      <c r="C34" s="86"/>
      <c r="D34" s="86"/>
      <c r="E34" s="86"/>
      <c r="F34" s="86"/>
      <c r="G34" s="86"/>
      <c r="H34" s="86"/>
      <c r="I34" s="86"/>
      <c r="J34" s="86"/>
      <c r="K34" s="87"/>
      <c r="L34" s="88"/>
      <c r="M34" s="86"/>
      <c r="N34" s="86"/>
      <c r="O34" s="86"/>
      <c r="P34" s="86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  <c r="AI34" s="86"/>
      <c r="AJ34" s="86"/>
      <c r="AK34" s="86"/>
      <c r="AL34" s="86"/>
      <c r="AM34" s="86"/>
      <c r="AN34" s="86"/>
      <c r="AO34" s="86"/>
      <c r="AP34" s="86"/>
      <c r="AQ34" s="86"/>
      <c r="AR34" s="86"/>
      <c r="AS34" s="86"/>
      <c r="AT34" s="86"/>
      <c r="AU34" s="86"/>
      <c r="AV34" s="86"/>
      <c r="AW34" s="86"/>
      <c r="AX34" s="86"/>
      <c r="AY34" s="86"/>
      <c r="AZ34" s="86"/>
      <c r="BA34" s="86"/>
      <c r="BB34" s="86"/>
      <c r="BC34" s="86"/>
      <c r="BD34" s="86"/>
    </row>
    <row r="35" spans="1:56" s="18" customFormat="1" ht="15.75" customHeight="1" x14ac:dyDescent="0.2">
      <c r="A35" s="86"/>
      <c r="B35" s="86"/>
      <c r="C35" s="86"/>
      <c r="D35" s="86"/>
      <c r="E35" s="86"/>
      <c r="F35" s="86"/>
      <c r="G35" s="86"/>
      <c r="H35" s="86"/>
      <c r="I35" s="86"/>
      <c r="J35" s="86"/>
      <c r="K35" s="87"/>
      <c r="L35" s="88"/>
      <c r="M35" s="86"/>
      <c r="N35" s="86"/>
      <c r="O35" s="86"/>
      <c r="P35" s="86"/>
      <c r="Q35" s="86"/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  <c r="AL35" s="86"/>
      <c r="AM35" s="86"/>
      <c r="AN35" s="86"/>
      <c r="AO35" s="86"/>
      <c r="AP35" s="86"/>
      <c r="AQ35" s="86"/>
      <c r="AR35" s="86"/>
      <c r="AS35" s="86"/>
      <c r="AT35" s="86"/>
      <c r="AU35" s="86"/>
      <c r="AV35" s="86"/>
      <c r="AW35" s="86"/>
      <c r="AX35" s="86"/>
      <c r="AY35" s="86"/>
      <c r="AZ35" s="86"/>
      <c r="BA35" s="86"/>
      <c r="BB35" s="86"/>
      <c r="BC35" s="86"/>
      <c r="BD35" s="86"/>
    </row>
    <row r="36" spans="1:56" s="18" customFormat="1" ht="14.25" customHeight="1" x14ac:dyDescent="0.2">
      <c r="A36" s="86"/>
      <c r="B36" s="86"/>
      <c r="C36" s="86"/>
      <c r="D36" s="86"/>
      <c r="E36" s="86"/>
      <c r="F36" s="86"/>
      <c r="G36" s="86"/>
      <c r="H36" s="86"/>
      <c r="I36" s="86"/>
      <c r="J36" s="86"/>
      <c r="K36" s="87"/>
      <c r="L36" s="88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6"/>
      <c r="AP36" s="86"/>
      <c r="AQ36" s="86"/>
      <c r="AR36" s="86"/>
      <c r="AS36" s="86"/>
      <c r="AT36" s="86"/>
      <c r="AU36" s="86"/>
      <c r="AV36" s="86"/>
      <c r="AW36" s="86"/>
      <c r="AX36" s="86"/>
      <c r="AY36" s="86"/>
      <c r="AZ36" s="86"/>
      <c r="BA36" s="86"/>
      <c r="BB36" s="86"/>
      <c r="BC36" s="86"/>
      <c r="BD36" s="86"/>
    </row>
    <row r="37" spans="1:56" s="18" customFormat="1" x14ac:dyDescent="0.2">
      <c r="A37" s="86"/>
      <c r="B37" s="86"/>
      <c r="C37" s="86"/>
      <c r="D37" s="86"/>
      <c r="E37" s="86"/>
      <c r="F37" s="86"/>
      <c r="G37" s="86"/>
      <c r="H37" s="86"/>
      <c r="I37" s="86"/>
      <c r="J37" s="86"/>
      <c r="K37" s="87"/>
      <c r="L37" s="88"/>
      <c r="M37" s="86"/>
      <c r="N37" s="86"/>
      <c r="O37" s="86"/>
      <c r="P37" s="86"/>
      <c r="Q37" s="86"/>
      <c r="R37" s="86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AH37" s="86"/>
      <c r="AI37" s="86"/>
      <c r="AJ37" s="86"/>
      <c r="AK37" s="86"/>
      <c r="AL37" s="86"/>
      <c r="AM37" s="86"/>
      <c r="AN37" s="86"/>
      <c r="AO37" s="86"/>
      <c r="AP37" s="86"/>
      <c r="AQ37" s="86"/>
      <c r="AR37" s="86"/>
      <c r="AS37" s="86"/>
      <c r="AT37" s="86"/>
      <c r="AU37" s="86"/>
      <c r="AV37" s="86"/>
      <c r="AW37" s="86"/>
      <c r="AX37" s="86"/>
      <c r="AY37" s="86"/>
      <c r="AZ37" s="86"/>
      <c r="BA37" s="86"/>
      <c r="BB37" s="86"/>
      <c r="BC37" s="86"/>
      <c r="BD37" s="86"/>
    </row>
    <row r="38" spans="1:56" s="18" customFormat="1" ht="15" customHeight="1" x14ac:dyDescent="0.2">
      <c r="A38" s="86"/>
      <c r="B38" s="86"/>
      <c r="C38" s="86"/>
      <c r="D38" s="86"/>
      <c r="E38" s="86"/>
      <c r="F38" s="86"/>
      <c r="G38" s="86"/>
      <c r="H38" s="86"/>
      <c r="I38" s="86"/>
      <c r="J38" s="86"/>
      <c r="K38" s="87"/>
      <c r="L38" s="88"/>
      <c r="M38" s="86"/>
      <c r="N38" s="86"/>
      <c r="O38" s="86"/>
      <c r="P38" s="86"/>
      <c r="Q38" s="86"/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6"/>
      <c r="AP38" s="86"/>
      <c r="AQ38" s="86"/>
      <c r="AR38" s="86"/>
      <c r="AS38" s="86"/>
      <c r="AT38" s="86"/>
      <c r="AU38" s="86"/>
      <c r="AV38" s="86"/>
      <c r="AW38" s="86"/>
      <c r="AX38" s="86"/>
      <c r="AY38" s="86"/>
      <c r="AZ38" s="86"/>
      <c r="BA38" s="86"/>
      <c r="BB38" s="86"/>
      <c r="BC38" s="86"/>
      <c r="BD38" s="86"/>
    </row>
    <row r="39" spans="1:56" s="18" customFormat="1" ht="15" customHeight="1" x14ac:dyDescent="0.2">
      <c r="A39" s="86"/>
      <c r="B39" s="86"/>
      <c r="C39" s="86"/>
      <c r="D39" s="86"/>
      <c r="E39" s="86"/>
      <c r="F39" s="86"/>
      <c r="G39" s="86"/>
      <c r="H39" s="86"/>
      <c r="I39" s="86"/>
      <c r="J39" s="86"/>
      <c r="K39" s="87"/>
      <c r="L39" s="88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  <c r="AM39" s="86"/>
      <c r="AN39" s="86"/>
      <c r="AO39" s="86"/>
      <c r="AP39" s="86"/>
      <c r="AQ39" s="86"/>
      <c r="AR39" s="86"/>
      <c r="AS39" s="86"/>
      <c r="AT39" s="86"/>
      <c r="AU39" s="86"/>
      <c r="AV39" s="86"/>
      <c r="AW39" s="86"/>
      <c r="AX39" s="86"/>
      <c r="AY39" s="86"/>
      <c r="AZ39" s="86"/>
      <c r="BA39" s="86"/>
      <c r="BB39" s="86"/>
      <c r="BC39" s="86"/>
      <c r="BD39" s="86"/>
    </row>
    <row r="40" spans="1:56" s="18" customFormat="1" x14ac:dyDescent="0.2">
      <c r="A40" s="86"/>
      <c r="B40" s="86"/>
      <c r="C40" s="86"/>
      <c r="D40" s="86"/>
      <c r="E40" s="86"/>
      <c r="F40" s="86"/>
      <c r="G40" s="86"/>
      <c r="H40" s="86"/>
      <c r="I40" s="86"/>
      <c r="J40" s="86"/>
      <c r="K40" s="87"/>
      <c r="L40" s="88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6"/>
      <c r="AP40" s="86"/>
      <c r="AQ40" s="86"/>
      <c r="AR40" s="86"/>
      <c r="AS40" s="86"/>
      <c r="AT40" s="86"/>
      <c r="AU40" s="86"/>
      <c r="AV40" s="86"/>
      <c r="AW40" s="86"/>
      <c r="AX40" s="86"/>
      <c r="AY40" s="86"/>
      <c r="AZ40" s="86"/>
      <c r="BA40" s="86"/>
      <c r="BB40" s="86"/>
      <c r="BC40" s="86"/>
      <c r="BD40" s="86"/>
    </row>
    <row r="41" spans="1:56" s="18" customFormat="1" ht="15" customHeight="1" x14ac:dyDescent="0.2">
      <c r="A41" s="86"/>
      <c r="B41" s="86"/>
      <c r="C41" s="86"/>
      <c r="D41" s="86"/>
      <c r="E41" s="86"/>
      <c r="F41" s="86"/>
      <c r="G41" s="86"/>
      <c r="H41" s="86"/>
      <c r="I41" s="86"/>
      <c r="J41" s="86"/>
      <c r="K41" s="87"/>
      <c r="L41" s="88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AH41" s="86"/>
      <c r="AI41" s="86"/>
      <c r="AJ41" s="86"/>
      <c r="AK41" s="86"/>
      <c r="AL41" s="86"/>
      <c r="AM41" s="86"/>
      <c r="AN41" s="86"/>
      <c r="AO41" s="86"/>
      <c r="AP41" s="86"/>
      <c r="AQ41" s="86"/>
      <c r="AR41" s="86"/>
      <c r="AS41" s="86"/>
      <c r="AT41" s="86"/>
      <c r="AU41" s="86"/>
      <c r="AV41" s="86"/>
      <c r="AW41" s="86"/>
      <c r="AX41" s="86"/>
      <c r="AY41" s="86"/>
      <c r="AZ41" s="86"/>
      <c r="BA41" s="86"/>
      <c r="BB41" s="86"/>
      <c r="BC41" s="86"/>
      <c r="BD41" s="86"/>
    </row>
    <row r="42" spans="1:56" s="18" customFormat="1" x14ac:dyDescent="0.2">
      <c r="A42" s="86"/>
      <c r="B42" s="86"/>
      <c r="C42" s="86"/>
      <c r="D42" s="86"/>
      <c r="E42" s="86"/>
      <c r="F42" s="86"/>
      <c r="G42" s="86"/>
      <c r="H42" s="86"/>
      <c r="I42" s="86"/>
      <c r="J42" s="86"/>
      <c r="K42" s="87"/>
      <c r="L42" s="88"/>
      <c r="M42" s="86"/>
      <c r="N42" s="86"/>
      <c r="O42" s="86"/>
      <c r="P42" s="86"/>
      <c r="Q42" s="86"/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6"/>
      <c r="AP42" s="86"/>
      <c r="AQ42" s="86"/>
      <c r="AR42" s="86"/>
      <c r="AS42" s="86"/>
      <c r="AT42" s="86"/>
      <c r="AU42" s="86"/>
      <c r="AV42" s="86"/>
      <c r="AW42" s="86"/>
      <c r="AX42" s="86"/>
      <c r="AY42" s="86"/>
      <c r="AZ42" s="86"/>
      <c r="BA42" s="86"/>
      <c r="BB42" s="86"/>
      <c r="BC42" s="86"/>
      <c r="BD42" s="86"/>
    </row>
    <row r="43" spans="1:56" s="18" customFormat="1" x14ac:dyDescent="0.2">
      <c r="A43" s="86"/>
      <c r="B43" s="86"/>
      <c r="C43" s="86"/>
      <c r="D43" s="86"/>
      <c r="E43" s="86"/>
      <c r="F43" s="86"/>
      <c r="G43" s="86"/>
      <c r="H43" s="86"/>
      <c r="I43" s="86"/>
      <c r="J43" s="86"/>
      <c r="K43" s="87"/>
      <c r="L43" s="88"/>
      <c r="M43" s="86"/>
      <c r="N43" s="86"/>
      <c r="O43" s="86"/>
      <c r="P43" s="86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AH43" s="86"/>
      <c r="AI43" s="86"/>
      <c r="AJ43" s="86"/>
      <c r="AK43" s="86"/>
      <c r="AL43" s="86"/>
      <c r="AM43" s="86"/>
      <c r="AN43" s="86"/>
      <c r="AO43" s="86"/>
      <c r="AP43" s="86"/>
      <c r="AQ43" s="86"/>
      <c r="AR43" s="86"/>
      <c r="AS43" s="86"/>
      <c r="AT43" s="86"/>
      <c r="AU43" s="86"/>
      <c r="AV43" s="86"/>
      <c r="AW43" s="86"/>
      <c r="AX43" s="86"/>
      <c r="AY43" s="86"/>
      <c r="AZ43" s="86"/>
      <c r="BA43" s="86"/>
      <c r="BB43" s="86"/>
      <c r="BC43" s="86"/>
      <c r="BD43" s="86"/>
    </row>
    <row r="44" spans="1:56" s="18" customFormat="1" x14ac:dyDescent="0.2">
      <c r="A44" s="86"/>
      <c r="B44" s="86"/>
      <c r="C44" s="86"/>
      <c r="D44" s="86"/>
      <c r="E44" s="86"/>
      <c r="F44" s="86"/>
      <c r="G44" s="86"/>
      <c r="H44" s="86"/>
      <c r="I44" s="86"/>
      <c r="J44" s="86"/>
      <c r="K44" s="87"/>
      <c r="L44" s="88"/>
      <c r="M44" s="86"/>
      <c r="N44" s="86"/>
      <c r="O44" s="86"/>
      <c r="P44" s="86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6"/>
      <c r="AP44" s="86"/>
      <c r="AQ44" s="86"/>
      <c r="AR44" s="86"/>
      <c r="AS44" s="86"/>
      <c r="AT44" s="86"/>
      <c r="AU44" s="86"/>
      <c r="AV44" s="86"/>
      <c r="AW44" s="86"/>
      <c r="AX44" s="86"/>
      <c r="AY44" s="86"/>
      <c r="AZ44" s="86"/>
      <c r="BA44" s="86"/>
      <c r="BB44" s="86"/>
      <c r="BC44" s="86"/>
      <c r="BD44" s="86"/>
    </row>
    <row r="45" spans="1:56" s="18" customFormat="1" x14ac:dyDescent="0.2">
      <c r="A45" s="86"/>
      <c r="B45" s="86"/>
      <c r="C45" s="86"/>
      <c r="D45" s="86"/>
      <c r="E45" s="86"/>
      <c r="F45" s="86"/>
      <c r="G45" s="86"/>
      <c r="H45" s="86"/>
      <c r="I45" s="86"/>
      <c r="J45" s="86"/>
      <c r="K45" s="87"/>
      <c r="L45" s="88"/>
      <c r="M45" s="86"/>
      <c r="N45" s="86"/>
      <c r="O45" s="86"/>
      <c r="P45" s="86"/>
      <c r="Q45" s="86"/>
      <c r="R45" s="86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6"/>
      <c r="AP45" s="86"/>
      <c r="AQ45" s="86"/>
      <c r="AR45" s="86"/>
      <c r="AS45" s="86"/>
      <c r="AT45" s="86"/>
      <c r="AU45" s="86"/>
      <c r="AV45" s="86"/>
      <c r="AW45" s="86"/>
      <c r="AX45" s="86"/>
      <c r="AY45" s="86"/>
      <c r="AZ45" s="86"/>
      <c r="BA45" s="86"/>
      <c r="BB45" s="86"/>
      <c r="BC45" s="86"/>
      <c r="BD45" s="86"/>
    </row>
    <row r="46" spans="1:56" s="18" customFormat="1" x14ac:dyDescent="0.2">
      <c r="A46" s="86"/>
      <c r="B46" s="86"/>
      <c r="C46" s="86"/>
      <c r="D46" s="86"/>
      <c r="E46" s="86"/>
      <c r="F46" s="86"/>
      <c r="G46" s="86"/>
      <c r="H46" s="86"/>
      <c r="I46" s="86"/>
      <c r="J46" s="86"/>
      <c r="K46" s="87"/>
      <c r="L46" s="88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86"/>
      <c r="AO46" s="86"/>
      <c r="AP46" s="86"/>
      <c r="AQ46" s="86"/>
      <c r="AR46" s="86"/>
      <c r="AS46" s="86"/>
      <c r="AT46" s="86"/>
      <c r="AU46" s="86"/>
      <c r="AV46" s="86"/>
      <c r="AW46" s="86"/>
      <c r="AX46" s="86"/>
      <c r="AY46" s="86"/>
      <c r="AZ46" s="86"/>
      <c r="BA46" s="86"/>
      <c r="BB46" s="86"/>
      <c r="BC46" s="86"/>
      <c r="BD46" s="86"/>
    </row>
    <row r="47" spans="1:56" s="18" customFormat="1" ht="14.25" customHeight="1" x14ac:dyDescent="0.2">
      <c r="A47" s="86"/>
      <c r="B47" s="86"/>
      <c r="C47" s="86"/>
      <c r="D47" s="86"/>
      <c r="E47" s="86"/>
      <c r="F47" s="86"/>
      <c r="G47" s="86"/>
      <c r="H47" s="86"/>
      <c r="I47" s="86"/>
      <c r="J47" s="86"/>
      <c r="K47" s="87"/>
      <c r="L47" s="88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86"/>
      <c r="AO47" s="86"/>
      <c r="AP47" s="86"/>
      <c r="AQ47" s="86"/>
      <c r="AR47" s="86"/>
      <c r="AS47" s="86"/>
      <c r="AT47" s="86"/>
      <c r="AU47" s="86"/>
      <c r="AV47" s="86"/>
      <c r="AW47" s="86"/>
      <c r="AX47" s="86"/>
      <c r="AY47" s="86"/>
      <c r="AZ47" s="86"/>
      <c r="BA47" s="86"/>
      <c r="BB47" s="86"/>
      <c r="BC47" s="86"/>
      <c r="BD47" s="86"/>
    </row>
    <row r="48" spans="1:56" s="18" customFormat="1" x14ac:dyDescent="0.2">
      <c r="A48" s="86"/>
      <c r="B48" s="86"/>
      <c r="C48" s="86"/>
      <c r="D48" s="86"/>
      <c r="E48" s="86"/>
      <c r="F48" s="86"/>
      <c r="G48" s="86"/>
      <c r="H48" s="86"/>
      <c r="I48" s="86"/>
      <c r="J48" s="86"/>
      <c r="K48" s="87"/>
      <c r="L48" s="88"/>
      <c r="M48" s="86"/>
      <c r="N48" s="86"/>
      <c r="O48" s="86"/>
      <c r="P48" s="86"/>
      <c r="Q48" s="86"/>
      <c r="R48" s="86"/>
      <c r="S48" s="86"/>
      <c r="T48" s="86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  <c r="AJ48" s="86"/>
      <c r="AK48" s="86"/>
      <c r="AL48" s="86"/>
      <c r="AM48" s="86"/>
      <c r="AN48" s="86"/>
      <c r="AO48" s="86"/>
      <c r="AP48" s="86"/>
      <c r="AQ48" s="86"/>
      <c r="AR48" s="86"/>
      <c r="AS48" s="86"/>
      <c r="AT48" s="86"/>
      <c r="AU48" s="86"/>
      <c r="AV48" s="86"/>
      <c r="AW48" s="86"/>
      <c r="AX48" s="86"/>
      <c r="AY48" s="86"/>
      <c r="AZ48" s="86"/>
      <c r="BA48" s="86"/>
      <c r="BB48" s="86"/>
      <c r="BC48" s="86"/>
      <c r="BD48" s="86"/>
    </row>
    <row r="49" spans="1:56" s="18" customFormat="1" x14ac:dyDescent="0.2">
      <c r="A49" s="86"/>
      <c r="B49" s="86"/>
      <c r="C49" s="86"/>
      <c r="D49" s="86"/>
      <c r="E49" s="86"/>
      <c r="F49" s="86"/>
      <c r="G49" s="86"/>
      <c r="H49" s="86"/>
      <c r="I49" s="86"/>
      <c r="J49" s="86"/>
      <c r="K49" s="87"/>
      <c r="L49" s="88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  <c r="AO49" s="86"/>
      <c r="AP49" s="86"/>
      <c r="AQ49" s="86"/>
      <c r="AR49" s="86"/>
      <c r="AS49" s="86"/>
      <c r="AT49" s="86"/>
      <c r="AU49" s="86"/>
      <c r="AV49" s="86"/>
      <c r="AW49" s="86"/>
      <c r="AX49" s="86"/>
      <c r="AY49" s="86"/>
      <c r="AZ49" s="86"/>
      <c r="BA49" s="86"/>
      <c r="BB49" s="86"/>
      <c r="BC49" s="86"/>
      <c r="BD49" s="86"/>
    </row>
    <row r="50" spans="1:56" s="18" customFormat="1" ht="15" customHeight="1" x14ac:dyDescent="0.2">
      <c r="A50" s="86"/>
      <c r="B50" s="86"/>
      <c r="C50" s="86"/>
      <c r="D50" s="86"/>
      <c r="E50" s="86"/>
      <c r="F50" s="86"/>
      <c r="G50" s="86"/>
      <c r="H50" s="86"/>
      <c r="I50" s="86"/>
      <c r="J50" s="86"/>
      <c r="K50" s="87"/>
      <c r="L50" s="88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  <c r="AN50" s="86"/>
      <c r="AO50" s="86"/>
      <c r="AP50" s="86"/>
      <c r="AQ50" s="86"/>
      <c r="AR50" s="86"/>
      <c r="AS50" s="86"/>
      <c r="AT50" s="86"/>
      <c r="AU50" s="86"/>
      <c r="AV50" s="86"/>
      <c r="AW50" s="86"/>
      <c r="AX50" s="86"/>
      <c r="AY50" s="86"/>
      <c r="AZ50" s="86"/>
      <c r="BA50" s="86"/>
      <c r="BB50" s="86"/>
      <c r="BC50" s="86"/>
      <c r="BD50" s="86"/>
    </row>
    <row r="51" spans="1:56" ht="15.75" customHeight="1" x14ac:dyDescent="0.2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60"/>
      <c r="L51" s="61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</row>
    <row r="52" spans="1:56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60"/>
      <c r="L52" s="61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</row>
    <row r="53" spans="1:56" x14ac:dyDescent="0.2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60"/>
      <c r="L53" s="61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</row>
    <row r="54" spans="1:56" x14ac:dyDescent="0.2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60"/>
      <c r="L54" s="61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</row>
    <row r="55" spans="1:56" x14ac:dyDescent="0.2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60"/>
      <c r="L55" s="61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</row>
    <row r="56" spans="1:56" x14ac:dyDescent="0.2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60"/>
      <c r="L56" s="61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</row>
    <row r="57" spans="1:56" x14ac:dyDescent="0.2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60"/>
      <c r="L57" s="61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</row>
    <row r="58" spans="1:56" x14ac:dyDescent="0.2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60"/>
      <c r="L58" s="61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</row>
    <row r="59" spans="1:56" x14ac:dyDescent="0.2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60"/>
      <c r="L59" s="61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</row>
    <row r="60" spans="1:56" x14ac:dyDescent="0.2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60"/>
      <c r="L60" s="61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</row>
    <row r="61" spans="1:56" x14ac:dyDescent="0.2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60"/>
      <c r="L61" s="61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</row>
    <row r="62" spans="1:56" ht="15.75" customHeight="1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60"/>
      <c r="L62" s="61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</row>
    <row r="63" spans="1:56" ht="15" customHeight="1" x14ac:dyDescent="0.2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60"/>
      <c r="L63" s="61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</row>
    <row r="64" spans="1:56" x14ac:dyDescent="0.2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60"/>
      <c r="L64" s="61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</row>
    <row r="65" spans="1:56" x14ac:dyDescent="0.2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60"/>
      <c r="L65" s="61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</row>
    <row r="66" spans="1:56" x14ac:dyDescent="0.2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60"/>
      <c r="L66" s="61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</row>
    <row r="67" spans="1:56" s="18" customFormat="1" ht="15" customHeight="1" x14ac:dyDescent="0.2">
      <c r="K67" s="60"/>
      <c r="L67" s="61"/>
    </row>
    <row r="68" spans="1:56" s="18" customFormat="1" x14ac:dyDescent="0.2">
      <c r="A68" s="81"/>
      <c r="B68" s="81"/>
      <c r="C68" s="81"/>
      <c r="D68" s="81"/>
      <c r="E68" s="81"/>
      <c r="F68" s="81"/>
      <c r="G68" s="81"/>
      <c r="H68" s="81"/>
      <c r="I68" s="81"/>
      <c r="J68" s="81"/>
      <c r="K68" s="82"/>
      <c r="L68" s="83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81"/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1"/>
      <c r="BA68" s="81"/>
      <c r="BB68" s="81"/>
      <c r="BC68" s="81"/>
      <c r="BD68" s="81"/>
    </row>
    <row r="69" spans="1:56" ht="14.25" customHeight="1" x14ac:dyDescent="0.2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60"/>
      <c r="L69" s="61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</row>
    <row r="70" spans="1:56" ht="15.75" customHeight="1" x14ac:dyDescent="0.2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60"/>
      <c r="L70" s="61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</row>
    <row r="71" spans="1:56" ht="15.75" customHeight="1" x14ac:dyDescent="0.2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60"/>
      <c r="L71" s="61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</row>
    <row r="72" spans="1:56" ht="14.25" customHeight="1" x14ac:dyDescent="0.2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60"/>
      <c r="L72" s="61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</row>
    <row r="73" spans="1:56" ht="15" customHeight="1" x14ac:dyDescent="0.2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60"/>
      <c r="L73" s="61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</row>
    <row r="74" spans="1:56" ht="14.25" customHeight="1" x14ac:dyDescent="0.2"/>
  </sheetData>
  <sortState ref="A3:BD74">
    <sortCondition ref="BD40"/>
  </sortState>
  <mergeCells count="2">
    <mergeCell ref="F1:G1"/>
    <mergeCell ref="A1:C1"/>
  </mergeCells>
  <conditionalFormatting sqref="F2">
    <cfRule type="duplicateValues" dxfId="12" priority="13" stopIfTrue="1"/>
  </conditionalFormatting>
  <conditionalFormatting sqref="Z1:Z2">
    <cfRule type="duplicateValues" dxfId="11" priority="12" stopIfTrue="1"/>
  </conditionalFormatting>
  <conditionalFormatting sqref="F1:F5 F9:F1048576">
    <cfRule type="duplicateValues" dxfId="10" priority="11"/>
  </conditionalFormatting>
  <conditionalFormatting sqref="F6:F8">
    <cfRule type="duplicateValues" dxfId="9" priority="10"/>
  </conditionalFormatting>
  <conditionalFormatting sqref="Z1:Z1048576">
    <cfRule type="duplicateValues" dxfId="8" priority="9"/>
  </conditionalFormatting>
  <conditionalFormatting sqref="AE1:AE1048576">
    <cfRule type="duplicateValues" dxfId="7" priority="5"/>
    <cfRule type="duplicateValues" dxfId="6" priority="8"/>
    <cfRule type="duplicateValues" dxfId="5" priority="4"/>
    <cfRule type="duplicateValues" dxfId="4" priority="2"/>
    <cfRule type="duplicateValues" dxfId="3" priority="1"/>
  </conditionalFormatting>
  <conditionalFormatting sqref="Y1:Y1048576">
    <cfRule type="duplicateValues" dxfId="2" priority="7"/>
    <cfRule type="duplicateValues" dxfId="1" priority="3"/>
  </conditionalFormatting>
  <conditionalFormatting sqref="F1:F1048576">
    <cfRule type="duplicateValues" dxfId="0" priority="6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2"/>
  <sheetViews>
    <sheetView workbookViewId="0">
      <selection activeCell="A3" sqref="A3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69" t="s">
        <v>408</v>
      </c>
      <c r="B2" s="69" t="s">
        <v>409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2023-10-19T01:29:35Z</cp:lastPrinted>
  <dcterms:created xsi:type="dcterms:W3CDTF">2022-06-23T22:24:49Z</dcterms:created>
  <dcterms:modified xsi:type="dcterms:W3CDTF">2023-11-15T22:53:26Z</dcterms:modified>
</cp:coreProperties>
</file>