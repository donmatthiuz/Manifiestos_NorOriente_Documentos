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16815" windowHeight="7620" activeTab="2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<sst xmlns="http://schemas.openxmlformats.org/spreadsheetml/2006/main" count="807" uniqueCount="451">
  <si>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</si>
  <si>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</si>
  <si>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</si>
  <si>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</si>
  <si>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</si>
  <si>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</si>
  <si>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</si>
  <si>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</si>
  <si>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</si>
  <si>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</si>
  <si>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</si>
  <si>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</si>
  <si>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</si>
  <si>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</si>
  <si>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</si>
  <si>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</si>
  <si>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</si>
  <si>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</si>
  <si>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</si>
  <si>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</si>
  <si>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</si>
  <si>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</si>
  <si>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</si>
  <si>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</si>
  <si>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</si>
  <si>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</si>
  <si>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</si>
  <si>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</si>
  <si>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</si>
  <si>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</si>
  <si>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</si>
  <si>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</si>
  <si>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</si>
  <si>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</si>
  <si>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</si>
  <si>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</si>
  <si>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</si>
  <si>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</si>
  <si>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</si>
  <si>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</si>
  <si>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</si>
  <si>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</si>
  <si>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</si>
  <si>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</si>
  <si>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</si>
  <si>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</si>
  <si>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</si>
  <si>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</si>
  <si>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</si>
  <si>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</si>
  <si>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</si>
  <si>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</si>
  <si>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</si>
  <si>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</si>
  <si>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</si>
  <si>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</si>
  <si>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</si>
  <si>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</si>
  <si>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</si>
  <si>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</si>
  <si>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</si>
  <si>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</si>
  <si>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</si>
  <si>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</si>
  <si>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</si>
  <si>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</si>
  <si>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</si>
  <si>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</si>
  <si>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</si>
  <si>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</si>
  <si>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</si>
  <si>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</si>
  <si>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</si>
  <si>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</si>
  <si>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</si>
  <si>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</si>
  <si>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</si>
  <si>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</si>
  <si>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</si>
  <si>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</si>
  <si>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</si>
  <si>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</si>
  <si>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</si>
  <si>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</si>
  <si>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</si>
  <si>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</si>
  <si>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</si>
  <si>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</si>
  <si>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</si>
  <si>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</si>
  <si>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</si>
  <si>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</si>
  <si>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</si>
  <si>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</si>
  <si>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</si>
  <si>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</si>
  <si>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</si>
  <si>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</si>
  <si>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</si>
  <si>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</si>
  <si>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</si>
  <si>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</si>
  <si>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</si>
  <si>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</si>
  <si>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</si>
  <si>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</si>
  <si>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</si>
  <si>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</si>
  <si>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</si>
  <si>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</si>
  <si>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</si>
  <si>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</si>
  <si>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</si>
  <si>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</si>
  <si>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</si>
  <si>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</si>
  <si>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</si>
  <si>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</si>
  <si>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</si>
  <si>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</si>
  <si>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</si>
  <si>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</si>
  <si>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</si>
  <si>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</si>
  <si>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</si>
  <si>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</si>
  <si>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</si>
  <si>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</si>
  <si>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</si>
  <si>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</si>
  <si>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</si>
  <si>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</si>
  <si>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</si>
  <si>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</si>
  <si>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</si>
  <si>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</si>
  <si>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</si>
  <si>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</si>
  <si>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</si>
  <si>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</si>
  <si>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</si>
  <si>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</si>
  <si>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</si>
  <si>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</si>
  <si>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</si>
  <si>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</si>
  <si>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</si>
  <si>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</si>
  <si>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</si>
  <si>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</si>
  <si>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</si>
  <si>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</si>
  <si>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</si>
  <si>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</si>
  <si>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</si>
  <si>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</si>
  <si>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</si>
  <si>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</si>
  <si>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</si>
  <si>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</si>
  <si>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</si>
  <si>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</si>
  <si>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</si>
  <si>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</si>
  <si>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</si>
  <si>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</si>
  <si>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</si>
  <si>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</si>
  <si>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</si>
  <si>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</si>
  <si>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</si>
  <si>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</si>
  <si>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</si>
  <si>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</si>
  <si>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</si>
  <si>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</si>
  <si>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</si>
  <si>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</si>
  <si>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</si>
  <si>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</si>
  <si>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</si>
  <si>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</si>
  <si>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</si>
  <si>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</si>
  <si>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</si>
  <si>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</si>
  <si>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</si>
  <si>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</si>
  <si>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</si>
  <si>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</si>
  <si>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</si>
  <si>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</si>
  <si>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</si>
  <si>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</si>
  <si>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</si>
  <si>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</si>
  <si>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</si>
  <si>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</si>
  <si>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</si>
  <si>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</si>
  <si>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</si>
  <si>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</si>
  <si>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</si>
  <si>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</si>
  <si>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</si>
  <si>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</si>
  <si>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</si>
  <si>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</si>
  <si>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</si>
  <si>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</si>
  <si>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</si>
  <si>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</si>
  <si>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</si>
  <si>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</si>
  <si>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</si>
  <si>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</si>
  <si>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</si>
  <si>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</si>
  <si>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</si>
  <si>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</si>
  <si>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</si>
  <si>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</si>
  <si>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</si>
  <si>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</si>
  <si>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</si>
  <si>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</si>
  <si>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</si>
  <si>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</si>
  <si>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</si>
  <si>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</si>
  <si>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</si>
  <si>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</si>
  <si>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</si>
  <si>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</si>
  <si>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</si>
  <si>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</si>
  <si>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</si>
  <si>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</si>
  <si>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</si>
  <si>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</si>
  <si>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</si>
  <si>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</si>
  <si>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</si>
  <si>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</si>
  <si>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</si>
  <si>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</si>
  <si>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</si>
  <si>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</si>
  <si>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</si>
  <si>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</si>
  <si>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</si>
  <si>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</si>
  <si>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</si>
  <si>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</si>
  <si>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</si>
  <si>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</si>
  <si>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</si>
  <si>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</si>
  <si>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</si>
  <si>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</si>
  <si>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</si>
  <si>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</si>
  <si>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</si>
  <si>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</si>
  <si>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</si>
  <si>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</si>
  <si>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</si>
  <si>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</si>
  <si>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</si>
  <si>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</si>
  <si>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</si>
  <si>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</si>
  <si>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</si>
  <si>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</si>
  <si>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</si>
  <si>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</si>
  <si>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</si>
  <si>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</si>
  <si>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</si>
  <si>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</si>
  <si>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</si>
  <si>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</si>
  <si>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</si>
  <si>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</si>
  <si>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</si>
  <si>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</si>
  <si>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</si>
  <si>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</si>
  <si>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</si>
  <si>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</si>
  <si>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</si>
  <si>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</si>
  <si>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</si>
  <si>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</si>
  <si>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</si>
  <si>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</si>
  <si>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</si>
  <si>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</si>
  <si>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</si>
  <si>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</si>
  <si>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</si>
  <si>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</si>
  <si>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</si>
  <si>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</si>
  <si>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</si>
  <si>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</si>
  <si>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</si>
  <si>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</si>
  <si>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</si>
  <si>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</si>
  <si>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</si>
  <si>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</si>
  <si>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</si>
  <si>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</si>
  <si>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</si>
  <si>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</si>
  <si>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</si>
  <si>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</si>
  <si>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</si>
  <si>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</si>
  <si>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</si>
  <si>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</si>
  <si>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</si>
  <si>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</si>
  <si>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</si>
  <si>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</si>
  <si>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</si>
  <si>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</si>
  <si>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</si>
  <si>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</si>
  <si>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</si>
  <si>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</si>
  <si>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</si>
  <si>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</si>
  <si>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</si>
  <si>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</si>
  <si>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</si>
  <si>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</si>
  <si>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</si>
  <si>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</si>
  <si>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</si>
  <si>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</si>
  <si>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</si>
  <si>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</si>
  <si>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</si>
  <si>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</si>
  <si>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</si>
  <si>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</si>
  <si>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</si>
  <si>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</si>
  <si>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</si>
  <si>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</si>
  <si>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</si>
  <si>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</si>
  <si>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</si>
  <si>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</si>
  <si>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</si>
  <si>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</si>
  <si>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</si>
  <si>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</si>
  <si>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</si>
  <si>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</si>
  <si>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</si>
  <si>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</si>
  <si>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</si>
  <si>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</si>
  <si>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</si>
  <si>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</si>
  <si>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</si>
  <si>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</si>
  <si>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</si>
  <si>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</si>
  <si>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</si>
  <si>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</si>
  <si>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</si>
  <si>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</si>
  <si>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</si>
  <si>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</si>
  <si>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</si>
  <si>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</si>
  <si>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</si>
  <si>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</si>
  <si>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</si>
  <si>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</si>
  <si>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</si>
  <si>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</si>
  <si>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</si>
  <si>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</si>
  <si>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</si>
  <si>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</si>
  <si>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</si>
  <si>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</si>
  <si>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</si>
  <si>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</si>
  <si>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</si>
  <si>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</si>
  <si>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</si>
  <si>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</si>
  <si>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</si>
  <si>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</si>
  <si>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</si>
  <si>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</si>
  <si>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</si>
  <si>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</si>
  <si>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</si>
  <si>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</si>
  <si>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</si>
  <si>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</si>
  <si>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</si>
  <si>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</si>
  <si>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</si>
  <si>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</si>
  <si>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</si>
  <si>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</si>
  <si>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</si>
  <si>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</si>
  <si>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</si>
  <si>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</si>
  <si>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</si>
  <si>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</si>
  <si>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</si>
  <si>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</si>
  <si>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</si>
  <si>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</si>
  <si>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</si>
  <si>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</si>
  <si>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</si>
  <si>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</si>
  <si>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</si>
  <si>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</si>
  <si>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</si>
  <si>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</si>
  <si>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</si>
  <si>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</si>
  <si>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</si>
  <si>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</si>
  <si>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</si>
  <si>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</si>
  <si>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</si>
  <si>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</si>
  <si>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</si>
  <si>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</si>
  <si>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</si>
  <si>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</si>
  <si>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</si>
  <si>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</si>
  <si>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</si>
  <si>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</si>
  <si>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</si>
  <si>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202 - 30207763</t>
  </si>
  <si>
    <t>202 - 30207785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</si>
</sst>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0" zoomScaleNormal="70" workbookViewId="0">
      <selection activeCell="A26" sqref="A26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8" t="s">
        <v>446</v>
      </c>
      <c r="C1" s="118"/>
      <c r="D1" s="118"/>
      <c r="E1" s="118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119" t="str">
        <f>VLOOKUP(I3,'Base de Datos'!J2:L195,2,FALSE)</f>
        <v>14 AVENIDA 3-25 ZONA 1</v>
      </c>
      <c r="C2" s="119"/>
      <c r="D2" s="119"/>
      <c r="E2" s="119"/>
      <c r="F2" s="126" t="str">
        <f>VLOOKUP(I3,'Base de Datos'!J2:L195,3,FALSE)</f>
        <v>QUETZALTEPEQUE - GUATEMALA</v>
      </c>
      <c r="G2" s="12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3" t="s">
        <v>447</v>
      </c>
      <c r="C3" s="93"/>
      <c r="D3" s="93"/>
      <c r="E3" s="93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5" t="str">
        <f>VLOOKUP(J3,'Base de Datos'!A2:F95,2,FALSE)</f>
        <v>70 BARKERT ST</v>
      </c>
      <c r="C4" s="125"/>
      <c r="D4" s="125" t="str">
        <f>VLOOKUP(J3,'Base de Datos'!A2:F95,3,FALSE)</f>
        <v>MOUNTKISCO</v>
      </c>
      <c r="E4" s="125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29">
        <v>2404685091</v>
      </c>
      <c r="C5" s="129"/>
      <c r="D5" s="126"/>
      <c r="E5" s="126"/>
      <c r="F5" s="17" t="s">
        <v>4</v>
      </c>
      <c r="G5" s="18">
        <f ca="1">TODAY()</f>
        <v>45364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8" t="s">
        <v>23</v>
      </c>
      <c r="B8" s="99"/>
      <c r="C8" s="104" t="s">
        <v>444</v>
      </c>
      <c r="D8" s="105"/>
      <c r="E8" s="106"/>
      <c r="F8" s="95">
        <v>32</v>
      </c>
      <c r="G8" s="91" t="s">
        <v>445</v>
      </c>
      <c r="J8" s="24"/>
      <c r="K8" s="24"/>
      <c r="L8" s="24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25"/>
      <c r="J9" s="24"/>
      <c r="K9" s="24"/>
      <c r="L9" s="24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26"/>
      <c r="J10" s="24"/>
      <c r="K10" s="24"/>
      <c r="L10" s="24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0" t="s">
        <v>3</v>
      </c>
      <c r="B15" s="121"/>
      <c r="C15" s="122" t="s">
        <v>448</v>
      </c>
      <c r="D15" s="122"/>
      <c r="E15" s="122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26"/>
      <c r="J17" s="130" t="s">
        <v>405</v>
      </c>
      <c r="K17" s="130"/>
      <c r="L17" s="130"/>
      <c r="M17" s="130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0"/>
      <c r="K18" s="130"/>
      <c r="L18" s="130"/>
      <c r="M18" s="130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0"/>
      <c r="K19" s="130"/>
      <c r="L19" s="130"/>
      <c r="M19" s="130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8"/>
      <c r="K21" s="128"/>
      <c r="L21" s="128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8"/>
      <c r="K22" s="128"/>
      <c r="L22" s="128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8"/>
      <c r="K23" s="128"/>
      <c r="L23" s="128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3" t="s">
        <v>320</v>
      </c>
      <c r="J26" s="114"/>
      <c r="K26" s="114"/>
      <c r="L26" s="115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6">
        <f>SUM(Gradle!D2:D1048576)</f>
        <v>0</v>
      </c>
      <c r="J27" s="116"/>
      <c r="K27" s="116"/>
      <c r="L27" s="116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>
      <selection activeCell="A7" sqref="A7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zoomScale="89" zoomScaleNormal="89" workbookViewId="0">
      <selection activeCell="F2" sqref="F2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450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C6" sqref="C6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449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1594689213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1977310287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7257350045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4613615663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6469470255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8219977555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5483002610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9245771311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8368534719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4236319819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4602341010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2094157542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7631809305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2803609607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1250480256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1731781526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4324487436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5692625995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8441371390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2256745738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8408388036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Owner</cp:lastModifiedBy>
  <cp:lastPrinted>2024-03-13T21:34:07Z</cp:lastPrinted>
  <dcterms:created xsi:type="dcterms:W3CDTF">2022-06-23T22:24:49Z</dcterms:created>
  <dcterms:modified xsi:type="dcterms:W3CDTF">2024-03-13T21:34:22Z</dcterms:modified>
</cp:coreProperties>
</file>