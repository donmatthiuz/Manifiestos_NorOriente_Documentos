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<sst xmlns="http://schemas.openxmlformats.org/spreadsheetml/2006/main" count="791" uniqueCount="435">
  <si>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</si>
  <si>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</si>
  <si>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</si>
  <si>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</si>
  <si>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</si>
  <si>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</si>
  <si>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</si>
  <si>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</si>
  <si>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</si>
  <si>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</si>
  <si>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</si>
  <si>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</si>
  <si>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</si>
  <si>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</si>
  <si>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</si>
  <si>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</si>
  <si>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</si>
  <si>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</si>
  <si>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</si>
  <si>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</si>
  <si>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</si>
  <si>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</si>
  <si>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</si>
  <si>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</si>
  <si>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</si>
  <si>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</si>
  <si>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</si>
  <si>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</si>
  <si>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</si>
  <si>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</si>
  <si>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</si>
  <si>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</si>
  <si>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</si>
  <si>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</si>
  <si>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</si>
  <si>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</si>
  <si>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</si>
  <si>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</si>
  <si>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</si>
  <si>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</si>
  <si>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</si>
  <si>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</si>
  <si>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</si>
  <si>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</si>
  <si>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</si>
  <si>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</si>
  <si>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</si>
  <si>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</si>
  <si>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</si>
  <si>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</si>
  <si>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</si>
  <si>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</si>
  <si>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</si>
  <si>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</si>
  <si>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</si>
  <si>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</si>
  <si>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</si>
  <si>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</si>
  <si>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</si>
  <si>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</si>
  <si>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</si>
  <si>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</si>
  <si>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</si>
  <si>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</si>
  <si>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</si>
  <si>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</si>
  <si>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</si>
  <si>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</si>
  <si>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</si>
  <si>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</si>
  <si>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</si>
  <si>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</si>
  <si>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</si>
  <si>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</si>
  <si>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</si>
  <si>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</si>
  <si>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</si>
  <si>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</si>
  <si>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</si>
  <si>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</si>
  <si>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</si>
  <si>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</si>
  <si>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</si>
  <si>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</si>
  <si>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</si>
  <si>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</si>
  <si>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</si>
  <si>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</si>
  <si>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</si>
  <si>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</si>
  <si>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</si>
  <si>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</si>
  <si>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</si>
  <si>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</si>
  <si>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</si>
  <si>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</si>
  <si>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</si>
  <si>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</si>
  <si>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</si>
  <si>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</si>
  <si>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</si>
  <si>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</si>
  <si>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</si>
  <si>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</si>
  <si>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</si>
  <si>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</si>
  <si>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</si>
  <si>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</si>
  <si>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</si>
  <si>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</si>
  <si>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</si>
  <si>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</si>
  <si>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</si>
  <si>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</si>
  <si>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</si>
  <si>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</si>
  <si>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</si>
  <si>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</si>
  <si>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</si>
  <si>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</si>
  <si>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</si>
  <si>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</si>
  <si>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</si>
  <si>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</si>
  <si>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</si>
  <si>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</si>
  <si>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</si>
  <si>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</si>
  <si>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</si>
  <si>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</si>
  <si>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</si>
  <si>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</si>
  <si>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</si>
  <si>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</si>
  <si>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</si>
  <si>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</si>
  <si>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</si>
  <si>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</si>
  <si>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</si>
  <si>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</si>
  <si>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</si>
  <si>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</si>
  <si>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</si>
  <si>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</si>
  <si>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</si>
  <si>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</si>
  <si>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</si>
  <si>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</si>
  <si>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</si>
  <si>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</si>
  <si>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</si>
  <si>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</si>
  <si>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</si>
  <si>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</si>
  <si>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</si>
  <si>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</si>
  <si>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</si>
  <si>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</si>
  <si>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</si>
  <si>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</si>
  <si>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</si>
  <si>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</si>
  <si>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</si>
  <si>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</si>
  <si>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</si>
  <si>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</si>
  <si>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</si>
  <si>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</si>
  <si>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</si>
  <si>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</si>
  <si>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</si>
  <si>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</si>
  <si>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</si>
  <si>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</si>
  <si>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</si>
  <si>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</si>
  <si>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</si>
  <si>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</si>
  <si>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</si>
  <si>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</si>
  <si>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</si>
  <si>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</si>
  <si>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</si>
  <si>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</si>
  <si>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</si>
  <si>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</si>
  <si>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</si>
  <si>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</si>
  <si>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</si>
  <si>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</si>
  <si>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</si>
  <si>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</si>
  <si>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</si>
  <si>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</si>
  <si>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</si>
  <si>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</si>
  <si>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</si>
  <si>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</si>
  <si>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</si>
  <si>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</si>
  <si>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</si>
  <si>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</si>
  <si>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</si>
  <si>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</si>
  <si>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</si>
  <si>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</si>
  <si>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</si>
  <si>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</si>
  <si>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</si>
  <si>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</si>
  <si>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</si>
  <si>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</si>
  <si>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</si>
  <si>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</si>
  <si>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</si>
  <si>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</si>
  <si>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</si>
  <si>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</si>
  <si>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</si>
  <si>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</si>
  <si>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</si>
  <si>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</si>
  <si>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</si>
  <si>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</si>
  <si>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</si>
  <si>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</si>
  <si>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</si>
  <si>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</si>
  <si>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</si>
  <si>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</si>
  <si>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</si>
  <si>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</si>
  <si>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</si>
  <si>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</si>
  <si>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</si>
  <si>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</si>
  <si>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</si>
  <si>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</si>
  <si>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</si>
  <si>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</si>
  <si>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</si>
  <si>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</si>
  <si>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</si>
  <si>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</si>
  <si>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</si>
  <si>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</si>
  <si>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</si>
  <si>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</si>
  <si>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</si>
  <si>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</si>
  <si>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</si>
  <si>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</si>
  <si>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</si>
  <si>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</si>
  <si>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</si>
  <si>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</si>
  <si>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</si>
  <si>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</si>
  <si>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</si>
  <si>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</si>
  <si>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</si>
  <si>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</si>
  <si>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</si>
  <si>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</si>
  <si>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</si>
  <si>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</si>
  <si>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</si>
  <si>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</si>
  <si>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</si>
  <si>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</si>
  <si>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</si>
  <si>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</si>
  <si>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</si>
  <si>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</si>
  <si>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</si>
  <si>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</si>
  <si>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</si>
  <si>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</si>
  <si>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</si>
  <si>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</si>
  <si>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</si>
  <si>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</si>
  <si>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</si>
  <si>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</si>
  <si>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</si>
  <si>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</si>
  <si>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</si>
  <si>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</si>
  <si>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</si>
  <si>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</si>
  <si>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</si>
  <si>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</si>
  <si>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</si>
  <si>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</si>
  <si>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</si>
  <si>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</si>
  <si>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</si>
  <si>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</si>
  <si>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</si>
  <si>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</si>
  <si>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</si>
  <si>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</si>
  <si>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</si>
  <si>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</si>
  <si>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</si>
  <si>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</si>
  <si>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</si>
  <si>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</si>
  <si>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</si>
  <si>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</si>
  <si>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</si>
  <si>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</si>
  <si>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</si>
  <si>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</si>
  <si>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</si>
  <si>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</si>
  <si>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</si>
  <si>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</si>
  <si>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</si>
  <si>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</si>
  <si>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</si>
  <si>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</si>
  <si>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</si>
  <si>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</si>
  <si>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</si>
  <si>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</si>
  <si>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</si>
  <si>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</si>
  <si>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</si>
  <si>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</si>
  <si>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</si>
  <si>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</si>
  <si>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</si>
  <si>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</si>
  <si>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</si>
  <si>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</si>
  <si>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</si>
  <si>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</si>
  <si>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</si>
  <si>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</si>
  <si>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</si>
  <si>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</si>
  <si>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</si>
  <si>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</si>
  <si>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</si>
  <si>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</si>
  <si>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</si>
  <si>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</si>
  <si>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</si>
  <si>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</si>
  <si>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</si>
  <si>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</si>
  <si>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</si>
  <si>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</si>
  <si>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</si>
  <si>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</si>
  <si>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</si>
  <si>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</si>
  <si>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</si>
  <si>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</si>
  <si>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</si>
  <si>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</si>
  <si>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</si>
  <si>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</si>
  <si>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</si>
  <si>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</si>
  <si>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</si>
  <si>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</si>
  <si>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</si>
  <si>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</si>
  <si>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</si>
  <si>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</si>
  <si>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</si>
  <si>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</si>
  <si>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</si>
  <si>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</si>
  <si>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</si>
  <si>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</si>
  <si>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</si>
  <si>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</si>
  <si>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</si>
  <si>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</si>
  <si>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</si>
  <si>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</si>
  <si>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</si>
  <si>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</si>
  <si>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</si>
  <si>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</si>
  <si>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</si>
  <si>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</si>
  <si>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</si>
  <si>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</si>
  <si>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</si>
  <si>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</si>
  <si>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</si>
  <si>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</si>
  <si>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</si>
  <si>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</si>
  <si>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</si>
  <si>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</si>
  <si>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</si>
  <si>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</si>
  <si>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</si>
  <si>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</si>
  <si>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</si>
  <si>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</si>
  <si>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</si>
  <si>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</si>
  <si>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</si>
  <si>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</si>
  <si>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</si>
  <si>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</si>
  <si>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</si>
  <si>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</si>
  <si>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</si>
  <si>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</si>
  <si>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</si>
  <si>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</si>
  <si>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</si>
  <si>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</si>
  <si>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</si>
  <si>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</si>
  <si>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</si>
  <si>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</si>
  <si>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</si>
  <si>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</si>
  <si>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</si>
  <si>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</si>
  <si>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</si>
  <si>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SUPLEMENTO VITAMINICO </t>
  </si>
  <si>
    <t>106M</t>
  </si>
  <si>
    <t xml:space="preserve">MARIA ACEVEDO </t>
  </si>
  <si>
    <t xml:space="preserve">BERNARDINO NAVAS </t>
  </si>
  <si>
    <t>ESMERALDA</t>
  </si>
  <si>
    <t>202 - 30134355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</si>
</sst>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u/>
      <sz val="11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5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0" xfId="1" applyFont="1" applyFill="1" applyBorder="1" applyAlignment="1">
      <alignment horizontal="left"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2" xfId="0" applyFont="1" applyBorder="1" applyAlignment="1" applyProtection="1">
      <protection hidden="1"/>
    </xf>
    <xf numFmtId="0" fontId="9" fillId="0" borderId="24" xfId="0" applyFont="1" applyBorder="1" applyAlignment="1" applyProtection="1">
      <alignment horizontal="right"/>
      <protection hidden="1"/>
    </xf>
    <xf numFmtId="0" fontId="10" fillId="0" borderId="25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6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1" xfId="0" applyFont="1" applyBorder="1" applyAlignment="1" applyProtection="1">
      <protection hidden="1"/>
    </xf>
    <xf numFmtId="0" fontId="8" fillId="0" borderId="40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6" xfId="0" applyFont="1" applyBorder="1" applyProtection="1">
      <protection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8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8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7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30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4" xfId="0" applyFont="1" applyBorder="1" applyAlignment="1" applyProtection="1">
      <alignment horizontal="center"/>
      <protection hidden="1"/>
    </xf>
    <xf numFmtId="0" fontId="7" fillId="0" borderId="31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2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4" xfId="0" applyFont="1" applyBorder="1" applyAlignment="1" applyProtection="1">
      <alignment horizontal="center"/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37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23" fillId="0" borderId="0" xfId="0" applyFont="1" applyBorder="1" applyAlignment="1" applyProtection="1">
      <protection locked="0"/>
    </xf>
    <xf numFmtId="0" fontId="16" fillId="0" borderId="32" xfId="0" applyFont="1" applyBorder="1" applyAlignment="1" applyProtection="1">
      <alignment horizontal="center" vertical="center" wrapText="1"/>
      <protection hidden="1"/>
    </xf>
    <xf numFmtId="0" fontId="16" fillId="0" borderId="27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6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3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9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9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20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3" zoomScaleNormal="73" workbookViewId="0">
      <selection activeCell="A24" sqref="A24"/>
    </sheetView>
  </sheetViews>
  <sheetFormatPr baseColWidth="10" defaultColWidth="11.42578125" defaultRowHeight="14.25" x14ac:dyDescent="0.2"/>
  <cols>
    <col min="1" max="1" width="11.7109375" style="31" customWidth="1"/>
    <col min="2" max="2" width="11.85546875" style="31" customWidth="1"/>
    <col min="3" max="3" width="22" style="31" customWidth="1"/>
    <col min="4" max="4" width="8.5703125" style="31" customWidth="1"/>
    <col min="5" max="5" width="19.85546875" style="31" customWidth="1"/>
    <col min="6" max="6" width="21.85546875" style="31" customWidth="1"/>
    <col min="7" max="7" width="55" style="31" customWidth="1"/>
    <col min="8" max="8" width="17" style="31" customWidth="1"/>
    <col min="9" max="9" width="9.85546875" style="31" customWidth="1"/>
    <col min="10" max="10" width="10.28515625" style="31" customWidth="1"/>
    <col min="11" max="16384" width="11.42578125" style="31"/>
  </cols>
  <sheetData>
    <row r="1" spans="1:26" ht="25.5" customHeight="1" x14ac:dyDescent="0.4">
      <c r="A1" s="28" t="s">
        <v>5</v>
      </c>
      <c r="B1" s="119" t="s">
        <v>431</v>
      </c>
      <c r="C1" s="119"/>
      <c r="D1" s="119"/>
      <c r="E1" s="119"/>
      <c r="F1" s="29"/>
      <c r="G1" s="30">
        <v>33</v>
      </c>
      <c r="J1" s="31" t="s">
        <v>14</v>
      </c>
    </row>
    <row r="2" spans="1:26" ht="17.25" customHeight="1" x14ac:dyDescent="0.25">
      <c r="A2" s="32" t="s">
        <v>6</v>
      </c>
      <c r="B2" s="120" t="str">
        <f>VLOOKUP(I3,'Base de Datos'!J2:L195,2,FALSE)</f>
        <v>RUTA 4 4-95 ZONA 1</v>
      </c>
      <c r="C2" s="120"/>
      <c r="D2" s="120"/>
      <c r="E2" s="120"/>
      <c r="F2" s="127" t="str">
        <f>VLOOKUP(I3,'Base de Datos'!J2:L195,3,FALSE)</f>
        <v>CHIQUIMULA - GUATEMALA</v>
      </c>
      <c r="G2" s="128"/>
      <c r="I2" s="33" t="s">
        <v>2</v>
      </c>
      <c r="J2" s="33" t="s">
        <v>112</v>
      </c>
      <c r="K2" s="34"/>
      <c r="L2" s="35"/>
      <c r="M2" s="36"/>
      <c r="N2" s="36"/>
    </row>
    <row r="3" spans="1:26" ht="18" x14ac:dyDescent="0.25">
      <c r="A3" s="32" t="s">
        <v>8</v>
      </c>
      <c r="B3" s="94" t="s">
        <v>432</v>
      </c>
      <c r="C3" s="94"/>
      <c r="D3" s="94"/>
      <c r="E3" s="94"/>
      <c r="F3" s="37"/>
      <c r="G3" s="38"/>
      <c r="I3" s="39">
        <v>24</v>
      </c>
      <c r="J3" s="39">
        <v>64</v>
      </c>
      <c r="K3" s="34"/>
      <c r="L3" s="40"/>
      <c r="M3" s="36"/>
      <c r="N3" s="36"/>
      <c r="X3" s="31">
        <v>3</v>
      </c>
    </row>
    <row r="4" spans="1:26" ht="18" x14ac:dyDescent="0.25">
      <c r="A4" s="41" t="s">
        <v>6</v>
      </c>
      <c r="B4" s="126" t="str">
        <f>VLOOKUP(J3,'Base de Datos'!A2:F95,2,FALSE)</f>
        <v>88 LEXINGTON AVE</v>
      </c>
      <c r="C4" s="126"/>
      <c r="D4" s="126" t="str">
        <f>VLOOKUP(J3,'Base de Datos'!A2:F95,3,FALSE)</f>
        <v>MOUNTKISCO</v>
      </c>
      <c r="E4" s="126"/>
      <c r="F4" s="42" t="str">
        <f>VLOOKUP(J3,'Base de Datos'!A2:F95,4,FALSE)</f>
        <v>NY</v>
      </c>
      <c r="G4" s="43">
        <f>VLOOKUP(J3,'Base de Datos'!A2:F95,5,FALSE)</f>
        <v>10549</v>
      </c>
      <c r="L4" s="36"/>
      <c r="M4" s="36"/>
      <c r="N4" s="36"/>
    </row>
    <row r="5" spans="1:26" ht="20.25" customHeight="1" x14ac:dyDescent="0.25">
      <c r="A5" s="41" t="s">
        <v>9</v>
      </c>
      <c r="B5" s="130">
        <v>2409331447</v>
      </c>
      <c r="C5" s="130"/>
      <c r="D5" s="127"/>
      <c r="E5" s="127"/>
      <c r="F5" s="44" t="s">
        <v>4</v>
      </c>
      <c r="G5" s="45">
        <f ca="1">TODAY()</f>
        <v>45196</v>
      </c>
      <c r="L5" s="36"/>
      <c r="M5" s="36"/>
      <c r="N5" s="36"/>
      <c r="Z5" s="46"/>
    </row>
    <row r="6" spans="1:26" ht="8.25" customHeight="1" x14ac:dyDescent="0.2">
      <c r="A6" s="41"/>
      <c r="B6" s="47"/>
      <c r="C6" s="47"/>
      <c r="D6" s="47"/>
      <c r="E6" s="47"/>
      <c r="F6" s="47"/>
      <c r="G6" s="48"/>
    </row>
    <row r="7" spans="1:26" ht="16.5" customHeight="1" x14ac:dyDescent="0.25">
      <c r="A7" s="124" t="s">
        <v>0</v>
      </c>
      <c r="B7" s="125"/>
      <c r="C7" s="125" t="s">
        <v>1</v>
      </c>
      <c r="D7" s="125"/>
      <c r="E7" s="125"/>
      <c r="F7" s="49" t="s">
        <v>10</v>
      </c>
      <c r="G7" s="50" t="s">
        <v>11</v>
      </c>
      <c r="J7" s="51"/>
      <c r="K7" s="51"/>
      <c r="L7" s="51"/>
    </row>
    <row r="8" spans="1:26" ht="15" customHeight="1" x14ac:dyDescent="0.2">
      <c r="A8" s="99" t="s">
        <v>23</v>
      </c>
      <c r="B8" s="100"/>
      <c r="C8" s="105" t="s">
        <v>429</v>
      </c>
      <c r="D8" s="106"/>
      <c r="E8" s="107"/>
      <c r="F8" s="96">
        <v>42</v>
      </c>
      <c r="G8" s="92" t="s">
        <v>430</v>
      </c>
      <c r="J8" s="51"/>
      <c r="K8" s="51"/>
      <c r="L8" s="51"/>
    </row>
    <row r="9" spans="1:26" ht="15" customHeight="1" x14ac:dyDescent="0.25">
      <c r="A9" s="101"/>
      <c r="B9" s="102"/>
      <c r="C9" s="108"/>
      <c r="D9" s="109"/>
      <c r="E9" s="110"/>
      <c r="F9" s="97"/>
      <c r="G9" s="93"/>
      <c r="I9" s="52"/>
      <c r="J9" s="51"/>
      <c r="K9" s="51"/>
      <c r="L9" s="51"/>
    </row>
    <row r="10" spans="1:26" ht="15" customHeight="1" x14ac:dyDescent="0.2">
      <c r="A10" s="101"/>
      <c r="B10" s="102"/>
      <c r="C10" s="108"/>
      <c r="D10" s="109"/>
      <c r="E10" s="110"/>
      <c r="F10" s="97"/>
      <c r="G10" s="93"/>
      <c r="I10" s="53"/>
      <c r="J10" s="51"/>
      <c r="K10" s="51"/>
      <c r="L10" s="51"/>
    </row>
    <row r="11" spans="1:26" ht="15" customHeight="1" x14ac:dyDescent="0.2">
      <c r="A11" s="101"/>
      <c r="B11" s="102"/>
      <c r="C11" s="108"/>
      <c r="D11" s="109"/>
      <c r="E11" s="110"/>
      <c r="F11" s="97"/>
      <c r="G11" s="93"/>
    </row>
    <row r="12" spans="1:26" ht="27" customHeight="1" x14ac:dyDescent="0.2">
      <c r="A12" s="101"/>
      <c r="B12" s="102"/>
      <c r="C12" s="108"/>
      <c r="D12" s="109"/>
      <c r="E12" s="110"/>
      <c r="F12" s="97" t="s">
        <v>13</v>
      </c>
      <c r="G12" s="93"/>
    </row>
    <row r="13" spans="1:26" ht="25.5" customHeight="1" x14ac:dyDescent="0.35">
      <c r="A13" s="103"/>
      <c r="B13" s="104"/>
      <c r="C13" s="111"/>
      <c r="D13" s="112"/>
      <c r="E13" s="113"/>
      <c r="F13" s="98"/>
      <c r="G13" s="54" t="s">
        <v>406</v>
      </c>
    </row>
    <row r="14" spans="1:26" ht="4.5" customHeight="1" x14ac:dyDescent="0.2">
      <c r="A14" s="55"/>
      <c r="B14" s="56"/>
      <c r="C14" s="56"/>
      <c r="D14" s="56"/>
      <c r="E14" s="56"/>
      <c r="F14" s="56"/>
      <c r="G14" s="57"/>
    </row>
    <row r="15" spans="1:26" ht="18" x14ac:dyDescent="0.25">
      <c r="A15" s="121" t="s">
        <v>3</v>
      </c>
      <c r="B15" s="122"/>
      <c r="C15" s="123" t="s">
        <v>433</v>
      </c>
      <c r="D15" s="123"/>
      <c r="E15" s="123"/>
      <c r="F15" s="58" t="s">
        <v>7</v>
      </c>
      <c r="G15" s="59" t="str">
        <f>F2</f>
        <v>CHIQUIMULA - GUATEMALA</v>
      </c>
      <c r="H15" s="53"/>
      <c r="I15" s="53"/>
    </row>
    <row r="16" spans="1:26" ht="9" customHeight="1" thickBot="1" x14ac:dyDescent="0.25">
      <c r="A16" s="60"/>
      <c r="B16" s="61"/>
      <c r="C16" s="61"/>
      <c r="D16" s="61"/>
      <c r="E16" s="61"/>
      <c r="F16" s="61"/>
      <c r="G16" s="62"/>
      <c r="H16" s="53"/>
    </row>
    <row r="17" spans="1:14" ht="20.25" customHeight="1" x14ac:dyDescent="0.2">
      <c r="A17" s="95" t="s">
        <v>12</v>
      </c>
      <c r="B17" s="95"/>
      <c r="C17" s="95"/>
      <c r="D17" s="95"/>
      <c r="E17" s="95"/>
      <c r="F17" s="95"/>
      <c r="G17" s="95"/>
      <c r="H17" s="53"/>
      <c r="J17" s="131" t="s">
        <v>407</v>
      </c>
      <c r="K17" s="131"/>
      <c r="L17" s="131"/>
      <c r="M17" s="131"/>
      <c r="N17" s="36"/>
    </row>
    <row r="18" spans="1:14" ht="11.25" customHeight="1" x14ac:dyDescent="0.2">
      <c r="A18" s="58"/>
      <c r="B18" s="58"/>
      <c r="C18" s="58"/>
      <c r="D18" s="58"/>
      <c r="E18" s="58"/>
      <c r="F18" s="58"/>
      <c r="G18" s="58"/>
      <c r="J18" s="131"/>
      <c r="K18" s="131"/>
      <c r="L18" s="131"/>
      <c r="M18" s="131"/>
      <c r="N18" s="36"/>
    </row>
    <row r="19" spans="1:14" ht="21.75" customHeight="1" x14ac:dyDescent="0.2">
      <c r="A19" s="63"/>
      <c r="B19" s="63"/>
      <c r="C19" s="63"/>
      <c r="D19" s="63"/>
      <c r="E19" s="63"/>
      <c r="F19" s="63"/>
      <c r="G19" s="63"/>
      <c r="J19" s="131"/>
      <c r="K19" s="131"/>
      <c r="L19" s="131"/>
      <c r="M19" s="131"/>
      <c r="N19" s="36"/>
    </row>
    <row r="20" spans="1:14" ht="15.75" customHeight="1" x14ac:dyDescent="0.2">
      <c r="A20" s="63"/>
      <c r="B20" s="63"/>
      <c r="C20" s="63"/>
      <c r="D20" s="63"/>
      <c r="E20" s="63"/>
      <c r="F20" s="63"/>
      <c r="G20" s="63"/>
    </row>
    <row r="21" spans="1:14" ht="18.75" customHeight="1" x14ac:dyDescent="0.2">
      <c r="A21" s="63"/>
      <c r="B21" s="63"/>
      <c r="C21" s="63"/>
      <c r="D21" s="63"/>
      <c r="E21" s="63" t="s">
        <v>318</v>
      </c>
      <c r="F21" s="63"/>
      <c r="G21" s="63"/>
      <c r="J21" s="129"/>
      <c r="K21" s="129"/>
      <c r="L21" s="129"/>
    </row>
    <row r="22" spans="1:14" ht="15.75" customHeight="1" x14ac:dyDescent="0.2">
      <c r="A22" s="63"/>
      <c r="B22" s="63"/>
      <c r="C22" s="63"/>
      <c r="D22" s="63"/>
      <c r="E22" s="63"/>
      <c r="F22" s="63"/>
      <c r="G22" s="63"/>
      <c r="J22" s="129"/>
      <c r="K22" s="129"/>
      <c r="L22" s="129"/>
    </row>
    <row r="23" spans="1:14" ht="21.75" customHeight="1" x14ac:dyDescent="0.2">
      <c r="A23" s="63"/>
      <c r="B23" s="63"/>
      <c r="C23" s="63"/>
      <c r="D23" s="63"/>
      <c r="E23" s="63"/>
      <c r="F23" s="63"/>
      <c r="G23" s="63"/>
      <c r="J23" s="129"/>
      <c r="K23" s="129"/>
      <c r="L23" s="129"/>
    </row>
    <row r="24" spans="1:14" x14ac:dyDescent="0.2">
      <c r="A24" s="63"/>
      <c r="B24" s="63"/>
      <c r="C24" s="63"/>
      <c r="D24" s="63"/>
      <c r="E24" s="63"/>
      <c r="F24" s="91"/>
      <c r="G24" s="63"/>
    </row>
    <row r="25" spans="1:14" ht="16.5" customHeight="1" x14ac:dyDescent="0.2">
      <c r="A25" s="63"/>
      <c r="B25" s="63"/>
      <c r="C25" s="63"/>
      <c r="D25" s="63"/>
      <c r="E25" s="63"/>
      <c r="F25" s="63"/>
      <c r="G25" s="63"/>
    </row>
    <row r="26" spans="1:14" ht="32.25" customHeight="1" x14ac:dyDescent="0.4">
      <c r="A26" s="63"/>
      <c r="B26" s="63"/>
      <c r="C26" s="63"/>
      <c r="D26" s="63"/>
      <c r="E26" s="63"/>
      <c r="F26" s="63"/>
      <c r="G26" s="63"/>
      <c r="I26" s="114" t="s">
        <v>321</v>
      </c>
      <c r="J26" s="115"/>
      <c r="K26" s="115"/>
      <c r="L26" s="116"/>
      <c r="M26" s="36"/>
      <c r="N26" s="36"/>
    </row>
    <row r="27" spans="1:14" ht="43.5" customHeight="1" x14ac:dyDescent="0.4">
      <c r="A27" s="63"/>
      <c r="B27" s="63"/>
      <c r="C27" s="63"/>
      <c r="D27" s="63"/>
      <c r="E27" s="63"/>
      <c r="F27" s="63"/>
      <c r="G27" s="63"/>
      <c r="I27" s="117">
        <f>SUM(Manifiesto!E3:E1048576)</f>
        <v>0</v>
      </c>
      <c r="J27" s="117"/>
      <c r="K27" s="117"/>
      <c r="L27" s="117"/>
      <c r="M27" s="36"/>
      <c r="N27" s="36"/>
    </row>
    <row r="28" spans="1:14" ht="15" customHeight="1" x14ac:dyDescent="0.2">
      <c r="A28" s="63"/>
      <c r="B28" s="63"/>
      <c r="C28" s="63"/>
      <c r="D28" s="63"/>
      <c r="E28" s="63"/>
      <c r="F28" s="63"/>
      <c r="G28" s="63"/>
      <c r="J28" s="36"/>
      <c r="K28" s="36"/>
      <c r="L28" s="36"/>
      <c r="M28" s="36"/>
      <c r="N28" s="36"/>
    </row>
    <row r="29" spans="1:14" ht="18.75" customHeight="1" x14ac:dyDescent="0.2">
      <c r="A29" s="63"/>
      <c r="B29" s="63"/>
      <c r="C29" s="63"/>
      <c r="D29" s="63"/>
      <c r="E29" s="63"/>
      <c r="F29" s="63"/>
      <c r="G29" s="63"/>
    </row>
    <row r="30" spans="1:14" ht="15" customHeight="1" x14ac:dyDescent="0.2">
      <c r="A30" s="63"/>
      <c r="B30" s="63"/>
      <c r="C30" s="63"/>
      <c r="D30" s="63"/>
      <c r="E30" s="63"/>
      <c r="F30" s="63"/>
      <c r="G30" s="63"/>
    </row>
    <row r="31" spans="1:14" ht="34.5" customHeight="1" x14ac:dyDescent="0.2">
      <c r="A31" s="63"/>
      <c r="B31" s="63"/>
      <c r="C31" s="63"/>
      <c r="D31" s="63"/>
      <c r="E31" s="63"/>
      <c r="F31" s="63"/>
      <c r="G31" s="63"/>
    </row>
    <row r="32" spans="1:14" ht="6" customHeight="1" x14ac:dyDescent="0.2">
      <c r="A32" s="63"/>
      <c r="B32" s="63"/>
      <c r="C32" s="63"/>
      <c r="D32" s="63"/>
      <c r="E32" s="63"/>
      <c r="F32" s="63"/>
      <c r="G32" s="63"/>
    </row>
    <row r="33" spans="1:7" ht="18.75" customHeight="1" x14ac:dyDescent="0.2">
      <c r="A33" s="63"/>
      <c r="B33" s="63"/>
      <c r="C33" s="63"/>
      <c r="D33" s="63"/>
      <c r="E33" s="63"/>
      <c r="F33" s="63"/>
      <c r="G33" s="63"/>
    </row>
    <row r="34" spans="1:7" x14ac:dyDescent="0.2">
      <c r="A34" s="53"/>
      <c r="B34" s="53"/>
      <c r="C34" s="53"/>
      <c r="D34" s="53"/>
      <c r="E34" s="53"/>
      <c r="F34" s="53"/>
      <c r="G34" s="53"/>
    </row>
    <row r="35" spans="1:7" x14ac:dyDescent="0.2">
      <c r="A35" s="118"/>
      <c r="B35" s="118"/>
      <c r="C35" s="118"/>
      <c r="D35" s="118"/>
      <c r="E35" s="118"/>
      <c r="F35" s="118"/>
      <c r="G35" s="118"/>
    </row>
    <row r="36" spans="1:7" ht="9" customHeight="1" x14ac:dyDescent="0.2">
      <c r="A36" s="53"/>
      <c r="B36" s="53"/>
      <c r="C36" s="53"/>
      <c r="D36" s="53"/>
      <c r="E36" s="53"/>
      <c r="F36" s="53"/>
      <c r="G36" s="53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H19" zoomScaleNormal="100" workbookViewId="0">
      <selection activeCell="K26" sqref="K26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6433288683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3846485235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2832457371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6397143058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7642223120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6867456477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6422712907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9053505903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1478082113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3099784978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3637575987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9479177464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8223804492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4752163596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7942590471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3730236370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8" t="s">
        <v>427</v>
      </c>
      <c r="F91" s="2">
        <f t="shared" ca="1" si="2"/>
        <v>9045939454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9528545808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4470202514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2366072224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8" t="s">
        <v>428</v>
      </c>
      <c r="F95" s="2">
        <f t="shared" ca="1" si="2"/>
        <v>9408590914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21" priority="420"/>
    <cfRule type="duplicateValues" dxfId="20" priority="421"/>
    <cfRule type="cellIs" dxfId="19" priority="422" operator="equal">
      <formula>5773500711</formula>
    </cfRule>
    <cfRule type="cellIs" dxfId="18" priority="423" operator="equal">
      <formula>2710639176</formula>
    </cfRule>
  </conditionalFormatting>
  <conditionalFormatting sqref="F1:F74 F96:F1048576">
    <cfRule type="duplicateValues" dxfId="17" priority="6"/>
  </conditionalFormatting>
  <conditionalFormatting sqref="F75:F95">
    <cfRule type="duplicateValues" dxfId="16" priority="2"/>
    <cfRule type="duplicateValues" dxfId="15" priority="3"/>
    <cfRule type="cellIs" dxfId="14" priority="4" operator="equal">
      <formula>5773500711</formula>
    </cfRule>
    <cfRule type="cellIs" dxfId="13" priority="5" operator="equal">
      <formula>2710639176</formula>
    </cfRule>
  </conditionalFormatting>
  <conditionalFormatting sqref="F75:F95">
    <cfRule type="duplicateValues" dxfId="12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4"/>
  <sheetViews>
    <sheetView tabSelected="1" zoomScale="130" zoomScaleNormal="130" workbookViewId="0">
      <selection activeCell="A2" sqref="A2"/>
    </sheetView>
  </sheetViews>
  <sheetFormatPr baseColWidth="10" defaultRowHeight="14.25" x14ac:dyDescent="0.2"/>
  <cols>
    <col min="1" max="1" width="11.7109375" style="68" customWidth="1"/>
    <col min="2" max="2" width="10.5703125" style="68" customWidth="1"/>
    <col min="3" max="3" width="9.42578125" style="68" customWidth="1"/>
    <col min="4" max="5" width="11.42578125" style="68" customWidth="1"/>
    <col min="6" max="6" width="37.5703125" style="68" customWidth="1"/>
    <col min="7" max="7" width="51.42578125" style="68" customWidth="1"/>
    <col min="8" max="8" width="38.7109375" style="68" bestFit="1" customWidth="1"/>
    <col min="9" max="9" width="15.85546875" style="68" customWidth="1"/>
    <col min="10" max="10" width="11.42578125" style="68" customWidth="1"/>
    <col min="11" max="11" width="15.85546875" style="68" customWidth="1"/>
    <col min="12" max="12" width="40" style="68" customWidth="1"/>
    <col min="13" max="13" width="36.5703125" style="68" customWidth="1"/>
    <col min="14" max="14" width="22.85546875" style="68" customWidth="1"/>
    <col min="15" max="15" width="19.5703125" style="68" customWidth="1"/>
    <col min="16" max="16" width="11.42578125" style="68" customWidth="1"/>
    <col min="17" max="17" width="20.140625" style="68" customWidth="1"/>
    <col min="18" max="18" width="70.42578125" style="68" customWidth="1"/>
    <col min="19" max="19" width="5.85546875" style="83" customWidth="1"/>
    <col min="20" max="23" width="11.42578125" style="68"/>
    <col min="24" max="24" width="11.7109375" style="68" customWidth="1"/>
    <col min="25" max="16384" width="11.42578125" style="68"/>
  </cols>
  <sheetData>
    <row r="1" spans="1:28" x14ac:dyDescent="0.2">
      <c r="A1" s="132" t="s">
        <v>316</v>
      </c>
      <c r="B1" s="132"/>
      <c r="C1" s="132"/>
      <c r="D1" s="132"/>
      <c r="E1" s="132"/>
      <c r="F1" s="84" t="s">
        <v>434</v>
      </c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7"/>
    </row>
    <row r="2" spans="1:28" ht="21.75" customHeight="1" x14ac:dyDescent="0.2">
      <c r="A2" s="69" t="s">
        <v>105</v>
      </c>
      <c r="B2" s="69" t="s">
        <v>319</v>
      </c>
      <c r="C2" s="69" t="s">
        <v>106</v>
      </c>
      <c r="D2" s="69" t="s">
        <v>320</v>
      </c>
      <c r="E2" s="69" t="s">
        <v>10</v>
      </c>
      <c r="F2" s="70" t="s">
        <v>322</v>
      </c>
      <c r="G2" s="71" t="s">
        <v>323</v>
      </c>
      <c r="H2" s="71" t="s">
        <v>324</v>
      </c>
      <c r="I2" s="70" t="s">
        <v>107</v>
      </c>
      <c r="J2" s="70" t="s">
        <v>108</v>
      </c>
      <c r="K2" s="72" t="s">
        <v>109</v>
      </c>
      <c r="L2" s="73" t="s">
        <v>325</v>
      </c>
      <c r="M2" s="73" t="s">
        <v>326</v>
      </c>
      <c r="N2" s="73" t="s">
        <v>327</v>
      </c>
      <c r="O2" s="73" t="s">
        <v>328</v>
      </c>
      <c r="P2" s="73" t="s">
        <v>108</v>
      </c>
      <c r="Q2" s="73" t="s">
        <v>109</v>
      </c>
      <c r="R2" s="74" t="s">
        <v>110</v>
      </c>
      <c r="S2" s="75" t="s">
        <v>111</v>
      </c>
      <c r="W2" s="76"/>
      <c r="X2" s="77" t="s">
        <v>317</v>
      </c>
      <c r="AB2" s="78"/>
    </row>
    <row r="3" spans="1:28" ht="15.75" customHeight="1" x14ac:dyDescent="0.2">
      <c r="A3" s="89"/>
      <c r="B3" s="89"/>
      <c r="C3" s="89"/>
      <c r="D3" s="89"/>
      <c r="E3" s="90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79"/>
      <c r="U3" s="79"/>
      <c r="W3" s="80"/>
      <c r="X3" s="66">
        <v>2</v>
      </c>
    </row>
    <row r="4" spans="1:28" ht="15.75" customHeight="1" x14ac:dyDescent="0.2">
      <c r="A4" s="89"/>
      <c r="B4" s="89"/>
      <c r="C4" s="89"/>
      <c r="D4" s="89"/>
      <c r="E4" s="90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</row>
    <row r="5" spans="1:28" ht="13.5" customHeight="1" x14ac:dyDescent="0.2">
      <c r="A5" s="89"/>
      <c r="B5" s="89"/>
      <c r="C5" s="89"/>
      <c r="D5" s="89"/>
      <c r="E5" s="90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</row>
    <row r="6" spans="1:28" x14ac:dyDescent="0.2">
      <c r="A6" s="66"/>
      <c r="B6" s="66"/>
      <c r="C6" s="66"/>
      <c r="D6" s="67"/>
      <c r="E6" s="67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7"/>
      <c r="R6" s="66"/>
      <c r="S6" s="89"/>
    </row>
    <row r="7" spans="1:28" x14ac:dyDescent="0.2">
      <c r="A7" s="66"/>
      <c r="B7" s="66"/>
      <c r="C7" s="66"/>
      <c r="D7" s="67"/>
      <c r="E7" s="67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7"/>
      <c r="R7" s="66"/>
      <c r="S7" s="89"/>
    </row>
    <row r="8" spans="1:28" x14ac:dyDescent="0.2">
      <c r="A8" s="66"/>
      <c r="B8" s="66"/>
      <c r="C8" s="66"/>
      <c r="D8" s="67"/>
      <c r="E8" s="67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7"/>
      <c r="R8" s="66"/>
      <c r="S8" s="89"/>
    </row>
    <row r="9" spans="1:28" x14ac:dyDescent="0.2">
      <c r="A9" s="66"/>
      <c r="B9" s="66"/>
      <c r="C9" s="66"/>
      <c r="D9" s="67"/>
      <c r="E9" s="67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7"/>
      <c r="R9" s="66"/>
      <c r="S9" s="89"/>
    </row>
    <row r="10" spans="1:28" x14ac:dyDescent="0.2">
      <c r="A10" s="66"/>
      <c r="B10" s="66"/>
      <c r="C10" s="66"/>
      <c r="D10" s="67"/>
      <c r="E10" s="67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7"/>
      <c r="R10" s="66"/>
      <c r="S10" s="89"/>
    </row>
    <row r="11" spans="1:28" x14ac:dyDescent="0.2">
      <c r="A11" s="66"/>
      <c r="B11" s="66"/>
      <c r="C11" s="66"/>
      <c r="D11" s="67"/>
      <c r="E11" s="67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7"/>
      <c r="R11" s="66"/>
      <c r="S11" s="89"/>
    </row>
    <row r="12" spans="1:28" x14ac:dyDescent="0.2">
      <c r="A12" s="66"/>
      <c r="B12" s="66"/>
      <c r="C12" s="66"/>
      <c r="D12" s="67"/>
      <c r="E12" s="67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7"/>
      <c r="R12" s="66"/>
      <c r="S12" s="89"/>
    </row>
    <row r="13" spans="1:28" x14ac:dyDescent="0.2">
      <c r="A13" s="66"/>
      <c r="B13" s="66"/>
      <c r="C13" s="66"/>
      <c r="D13" s="67"/>
      <c r="E13" s="67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7"/>
      <c r="R13" s="66"/>
      <c r="S13" s="89"/>
    </row>
    <row r="14" spans="1:28" x14ac:dyDescent="0.2">
      <c r="A14" s="66"/>
      <c r="B14" s="66"/>
      <c r="C14" s="66"/>
      <c r="D14" s="67"/>
      <c r="E14" s="67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7"/>
      <c r="R14" s="66"/>
      <c r="S14" s="89"/>
    </row>
    <row r="15" spans="1:28" x14ac:dyDescent="0.2">
      <c r="A15" s="66"/>
      <c r="B15" s="66"/>
      <c r="C15" s="66"/>
      <c r="D15" s="67"/>
      <c r="E15" s="67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7"/>
      <c r="R15" s="66"/>
      <c r="S15" s="89"/>
    </row>
    <row r="16" spans="1:28" x14ac:dyDescent="0.2">
      <c r="A16" s="66"/>
      <c r="B16" s="66"/>
      <c r="C16" s="66"/>
      <c r="D16" s="67"/>
      <c r="E16" s="67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7"/>
      <c r="R16" s="66"/>
      <c r="S16" s="89"/>
    </row>
    <row r="17" spans="1:19" x14ac:dyDescent="0.2">
      <c r="A17" s="66"/>
      <c r="B17" s="66"/>
      <c r="C17" s="66"/>
      <c r="D17" s="67"/>
      <c r="E17" s="67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7"/>
      <c r="R17" s="66"/>
      <c r="S17" s="89"/>
    </row>
    <row r="18" spans="1:19" x14ac:dyDescent="0.2">
      <c r="A18" s="66"/>
      <c r="B18" s="66"/>
      <c r="C18" s="66"/>
      <c r="D18" s="67"/>
      <c r="E18" s="67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7"/>
      <c r="R18" s="66"/>
      <c r="S18" s="89"/>
    </row>
    <row r="19" spans="1:19" x14ac:dyDescent="0.2">
      <c r="A19" s="66"/>
      <c r="B19" s="66"/>
      <c r="C19" s="66"/>
      <c r="D19" s="67"/>
      <c r="E19" s="67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7"/>
      <c r="R19" s="66"/>
      <c r="S19" s="89"/>
    </row>
    <row r="20" spans="1:19" x14ac:dyDescent="0.2">
      <c r="A20" s="66"/>
      <c r="B20" s="66"/>
      <c r="C20" s="66"/>
      <c r="D20" s="67"/>
      <c r="E20" s="67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7"/>
      <c r="R20" s="66"/>
      <c r="S20" s="89"/>
    </row>
    <row r="21" spans="1:19" x14ac:dyDescent="0.2">
      <c r="A21" s="66"/>
      <c r="B21" s="66"/>
      <c r="C21" s="66"/>
      <c r="D21" s="67"/>
      <c r="E21" s="67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7"/>
      <c r="R21" s="66"/>
      <c r="S21" s="89"/>
    </row>
    <row r="22" spans="1:19" x14ac:dyDescent="0.2">
      <c r="A22" s="66"/>
      <c r="B22" s="66"/>
      <c r="C22" s="66"/>
      <c r="D22" s="67"/>
      <c r="E22" s="67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7"/>
      <c r="R22" s="66"/>
      <c r="S22" s="89"/>
    </row>
    <row r="23" spans="1:19" x14ac:dyDescent="0.2">
      <c r="A23" s="66"/>
      <c r="B23" s="66"/>
      <c r="C23" s="66"/>
      <c r="D23" s="67"/>
      <c r="E23" s="67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7"/>
      <c r="R23" s="66"/>
      <c r="S23" s="89"/>
    </row>
    <row r="24" spans="1:19" x14ac:dyDescent="0.2">
      <c r="A24" s="66"/>
      <c r="B24" s="66"/>
      <c r="C24" s="66"/>
      <c r="D24" s="67"/>
      <c r="E24" s="67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7"/>
      <c r="R24" s="66"/>
      <c r="S24" s="89"/>
    </row>
    <row r="25" spans="1:19" x14ac:dyDescent="0.2">
      <c r="A25" s="66"/>
      <c r="B25" s="66"/>
      <c r="C25" s="66"/>
      <c r="D25" s="67"/>
      <c r="E25" s="67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7"/>
      <c r="R25" s="66"/>
      <c r="S25" s="89"/>
    </row>
    <row r="26" spans="1:19" x14ac:dyDescent="0.2">
      <c r="A26" s="66"/>
      <c r="B26" s="66"/>
      <c r="C26" s="66"/>
      <c r="D26" s="67"/>
      <c r="E26" s="67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7"/>
      <c r="R26" s="66"/>
      <c r="S26" s="89"/>
    </row>
    <row r="27" spans="1:19" x14ac:dyDescent="0.2">
      <c r="A27" s="66"/>
      <c r="B27" s="66"/>
      <c r="C27" s="66"/>
      <c r="D27" s="67"/>
      <c r="E27" s="67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7"/>
      <c r="R27" s="66"/>
      <c r="S27" s="89"/>
    </row>
    <row r="28" spans="1:19" x14ac:dyDescent="0.2">
      <c r="A28" s="66"/>
      <c r="B28" s="66"/>
      <c r="C28" s="66"/>
      <c r="D28" s="67"/>
      <c r="E28" s="67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7"/>
      <c r="R28" s="66"/>
      <c r="S28" s="89"/>
    </row>
    <row r="29" spans="1:19" x14ac:dyDescent="0.2">
      <c r="A29" s="66"/>
      <c r="B29" s="66"/>
      <c r="C29" s="66"/>
      <c r="D29" s="67"/>
      <c r="E29" s="67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7"/>
      <c r="R29" s="66"/>
      <c r="S29" s="89"/>
    </row>
    <row r="30" spans="1:19" x14ac:dyDescent="0.2">
      <c r="A30" s="66"/>
      <c r="B30" s="66"/>
      <c r="C30" s="66"/>
      <c r="D30" s="67"/>
      <c r="E30" s="67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7"/>
      <c r="R30" s="66"/>
      <c r="S30" s="67"/>
    </row>
    <row r="31" spans="1:19" x14ac:dyDescent="0.2">
      <c r="A31" s="66"/>
      <c r="B31" s="66"/>
      <c r="C31" s="66"/>
      <c r="D31" s="67"/>
      <c r="E31" s="67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7"/>
      <c r="R31" s="66"/>
      <c r="S31" s="67"/>
    </row>
    <row r="32" spans="1:19" x14ac:dyDescent="0.2">
      <c r="A32" s="66"/>
      <c r="B32" s="66"/>
      <c r="C32" s="66"/>
      <c r="D32" s="67"/>
      <c r="E32" s="67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7"/>
      <c r="R32" s="66"/>
      <c r="S32" s="67"/>
    </row>
    <row r="33" spans="1:19" x14ac:dyDescent="0.2">
      <c r="A33" s="66"/>
      <c r="B33" s="66"/>
      <c r="C33" s="66"/>
      <c r="D33" s="67"/>
      <c r="E33" s="67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7"/>
      <c r="R33" s="66"/>
      <c r="S33" s="67"/>
    </row>
    <row r="34" spans="1:19" x14ac:dyDescent="0.2">
      <c r="A34" s="66"/>
      <c r="B34" s="66"/>
      <c r="C34" s="66"/>
      <c r="D34" s="67"/>
      <c r="E34" s="67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7"/>
      <c r="R34" s="66"/>
      <c r="S34" s="67"/>
    </row>
    <row r="35" spans="1:19" x14ac:dyDescent="0.2">
      <c r="A35" s="66"/>
      <c r="B35" s="66"/>
      <c r="C35" s="66"/>
      <c r="D35" s="67"/>
      <c r="E35" s="67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7"/>
      <c r="R35" s="66"/>
      <c r="S35" s="67"/>
    </row>
    <row r="36" spans="1:19" x14ac:dyDescent="0.2">
      <c r="A36" s="66"/>
      <c r="B36" s="66"/>
      <c r="C36" s="66"/>
      <c r="D36" s="67"/>
      <c r="E36" s="67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7"/>
      <c r="R36" s="66"/>
      <c r="S36" s="67"/>
    </row>
    <row r="37" spans="1:19" x14ac:dyDescent="0.2">
      <c r="A37" s="66"/>
      <c r="B37" s="66"/>
      <c r="C37" s="66"/>
      <c r="D37" s="67"/>
      <c r="E37" s="67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7"/>
      <c r="R37" s="66"/>
      <c r="S37" s="67"/>
    </row>
    <row r="38" spans="1:19" x14ac:dyDescent="0.2">
      <c r="A38" s="66"/>
      <c r="B38" s="66"/>
      <c r="C38" s="66"/>
      <c r="D38" s="67"/>
      <c r="E38" s="67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7"/>
      <c r="R38" s="66"/>
      <c r="S38" s="67"/>
    </row>
    <row r="39" spans="1:19" x14ac:dyDescent="0.2">
      <c r="A39" s="66"/>
      <c r="B39" s="66"/>
      <c r="C39" s="66"/>
      <c r="D39" s="67"/>
      <c r="E39" s="67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7"/>
      <c r="R39" s="66"/>
      <c r="S39" s="67"/>
    </row>
    <row r="40" spans="1:19" x14ac:dyDescent="0.2">
      <c r="A40" s="66"/>
      <c r="B40" s="66"/>
      <c r="C40" s="66"/>
      <c r="D40" s="67"/>
      <c r="E40" s="67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7"/>
      <c r="R40" s="66"/>
      <c r="S40" s="67"/>
    </row>
    <row r="41" spans="1:19" x14ac:dyDescent="0.2">
      <c r="A41" s="66"/>
      <c r="B41" s="66"/>
      <c r="C41" s="66"/>
      <c r="D41" s="67"/>
      <c r="E41" s="67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7"/>
      <c r="R41" s="66"/>
      <c r="S41" s="67"/>
    </row>
    <row r="42" spans="1:19" x14ac:dyDescent="0.2">
      <c r="A42" s="66"/>
      <c r="B42" s="66"/>
      <c r="C42" s="66"/>
      <c r="D42" s="67"/>
      <c r="E42" s="67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7"/>
      <c r="R42" s="66"/>
      <c r="S42" s="67"/>
    </row>
    <row r="43" spans="1:19" x14ac:dyDescent="0.2">
      <c r="A43" s="66"/>
      <c r="B43" s="66"/>
      <c r="C43" s="66"/>
      <c r="D43" s="67"/>
      <c r="E43" s="67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7"/>
      <c r="R43" s="66"/>
      <c r="S43" s="67"/>
    </row>
    <row r="44" spans="1:19" x14ac:dyDescent="0.2">
      <c r="A44" s="66"/>
      <c r="B44" s="66"/>
      <c r="C44" s="66"/>
      <c r="D44" s="67"/>
      <c r="E44" s="67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7"/>
      <c r="R44" s="66"/>
      <c r="S44" s="67"/>
    </row>
    <row r="45" spans="1:19" x14ac:dyDescent="0.2">
      <c r="A45" s="66"/>
      <c r="B45" s="66"/>
      <c r="C45" s="66"/>
      <c r="D45" s="67"/>
      <c r="E45" s="67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7"/>
      <c r="R45" s="66"/>
      <c r="S45" s="67"/>
    </row>
    <row r="46" spans="1:19" x14ac:dyDescent="0.2">
      <c r="A46" s="66"/>
      <c r="B46" s="66"/>
      <c r="C46" s="66"/>
      <c r="D46" s="67"/>
      <c r="E46" s="67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7"/>
      <c r="R46" s="66"/>
      <c r="S46" s="67"/>
    </row>
    <row r="47" spans="1:19" x14ac:dyDescent="0.2">
      <c r="A47" s="66"/>
      <c r="B47" s="66"/>
      <c r="C47" s="66"/>
      <c r="D47" s="67"/>
      <c r="E47" s="67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7"/>
      <c r="R47" s="66"/>
      <c r="S47" s="67"/>
    </row>
    <row r="48" spans="1:19" x14ac:dyDescent="0.2">
      <c r="A48" s="66"/>
      <c r="B48" s="66"/>
      <c r="C48" s="66"/>
      <c r="D48" s="67"/>
      <c r="E48" s="67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7"/>
      <c r="R48" s="66"/>
      <c r="S48" s="67"/>
    </row>
    <row r="49" spans="1:19" x14ac:dyDescent="0.2">
      <c r="A49" s="66"/>
      <c r="B49" s="66"/>
      <c r="C49" s="66"/>
      <c r="D49" s="67"/>
      <c r="E49" s="67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7"/>
      <c r="R49" s="66"/>
      <c r="S49" s="67"/>
    </row>
    <row r="50" spans="1:19" x14ac:dyDescent="0.2">
      <c r="A50" s="66"/>
      <c r="B50" s="66"/>
      <c r="C50" s="66"/>
      <c r="D50" s="67"/>
      <c r="E50" s="67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7"/>
      <c r="R50" s="66"/>
      <c r="S50" s="67"/>
    </row>
    <row r="51" spans="1:19" x14ac:dyDescent="0.2">
      <c r="A51" s="66"/>
      <c r="B51" s="66"/>
      <c r="C51" s="66"/>
      <c r="D51" s="67"/>
      <c r="E51" s="67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7"/>
      <c r="R51" s="66"/>
      <c r="S51" s="67"/>
    </row>
    <row r="52" spans="1:19" x14ac:dyDescent="0.2">
      <c r="A52" s="66"/>
      <c r="B52" s="66"/>
      <c r="C52" s="66"/>
      <c r="D52" s="67"/>
      <c r="E52" s="67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7"/>
      <c r="R52" s="66"/>
      <c r="S52" s="67"/>
    </row>
    <row r="53" spans="1:19" x14ac:dyDescent="0.2">
      <c r="A53" s="66"/>
      <c r="B53" s="66"/>
      <c r="C53" s="66"/>
      <c r="D53" s="67"/>
      <c r="E53" s="67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7"/>
      <c r="R53" s="66"/>
      <c r="S53" s="67"/>
    </row>
    <row r="54" spans="1:19" x14ac:dyDescent="0.2">
      <c r="A54" s="66"/>
      <c r="B54" s="66"/>
      <c r="C54" s="66"/>
      <c r="D54" s="67"/>
      <c r="E54" s="67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7"/>
      <c r="R54" s="66"/>
      <c r="S54" s="67"/>
    </row>
    <row r="55" spans="1:19" x14ac:dyDescent="0.2">
      <c r="A55" s="66"/>
      <c r="B55" s="66"/>
      <c r="C55" s="66"/>
      <c r="D55" s="67"/>
      <c r="E55" s="67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7"/>
      <c r="R55" s="66"/>
      <c r="S55" s="67"/>
    </row>
    <row r="56" spans="1:19" x14ac:dyDescent="0.2">
      <c r="A56" s="66"/>
      <c r="B56" s="66"/>
      <c r="C56" s="66"/>
      <c r="D56" s="67"/>
      <c r="E56" s="67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7"/>
      <c r="R56" s="66"/>
      <c r="S56" s="67"/>
    </row>
    <row r="57" spans="1:19" x14ac:dyDescent="0.2">
      <c r="A57" s="81"/>
      <c r="B57" s="81"/>
      <c r="C57" s="81"/>
      <c r="D57" s="82"/>
      <c r="E57" s="82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2"/>
      <c r="R57" s="81"/>
      <c r="S57" s="82"/>
    </row>
    <row r="58" spans="1:19" x14ac:dyDescent="0.2">
      <c r="A58" s="81"/>
      <c r="B58" s="81"/>
      <c r="C58" s="81"/>
      <c r="D58" s="82"/>
      <c r="E58" s="82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2"/>
      <c r="R58" s="81"/>
      <c r="S58" s="82"/>
    </row>
    <row r="59" spans="1:19" x14ac:dyDescent="0.2">
      <c r="A59" s="81"/>
      <c r="B59" s="81"/>
      <c r="C59" s="81"/>
      <c r="D59" s="82"/>
      <c r="E59" s="82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2"/>
      <c r="R59" s="81"/>
      <c r="S59" s="82"/>
    </row>
    <row r="60" spans="1:19" x14ac:dyDescent="0.2">
      <c r="A60" s="81"/>
      <c r="B60" s="81"/>
      <c r="C60" s="81"/>
      <c r="D60" s="82"/>
      <c r="E60" s="82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2"/>
      <c r="R60" s="81"/>
      <c r="S60" s="82"/>
    </row>
    <row r="61" spans="1:19" x14ac:dyDescent="0.2">
      <c r="A61" s="81"/>
      <c r="B61" s="81"/>
      <c r="C61" s="81"/>
      <c r="D61" s="82"/>
      <c r="E61" s="82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2"/>
      <c r="R61" s="81"/>
      <c r="S61" s="82"/>
    </row>
    <row r="62" spans="1:19" x14ac:dyDescent="0.2">
      <c r="A62" s="81"/>
      <c r="B62" s="81"/>
      <c r="C62" s="81"/>
      <c r="D62" s="82"/>
      <c r="E62" s="82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2"/>
      <c r="R62" s="81"/>
      <c r="S62" s="82"/>
    </row>
    <row r="63" spans="1:19" x14ac:dyDescent="0.2">
      <c r="A63" s="81"/>
      <c r="B63" s="81"/>
      <c r="C63" s="81"/>
      <c r="D63" s="82"/>
      <c r="E63" s="82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2"/>
      <c r="R63" s="81"/>
      <c r="S63" s="82"/>
    </row>
    <row r="64" spans="1:19" x14ac:dyDescent="0.2">
      <c r="A64" s="81"/>
      <c r="B64" s="81"/>
      <c r="C64" s="81"/>
      <c r="D64" s="82"/>
      <c r="E64" s="82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2"/>
      <c r="R64" s="81"/>
      <c r="S64" s="82"/>
    </row>
    <row r="65" spans="1:19" x14ac:dyDescent="0.2">
      <c r="A65" s="81"/>
      <c r="B65" s="81"/>
      <c r="C65" s="81"/>
      <c r="D65" s="82"/>
      <c r="E65" s="82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2"/>
      <c r="R65" s="81"/>
      <c r="S65" s="82"/>
    </row>
    <row r="66" spans="1:19" x14ac:dyDescent="0.2">
      <c r="A66" s="81"/>
      <c r="B66" s="81"/>
      <c r="C66" s="81"/>
      <c r="D66" s="82"/>
      <c r="E66" s="82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2"/>
      <c r="R66" s="81"/>
      <c r="S66" s="82"/>
    </row>
    <row r="67" spans="1:19" x14ac:dyDescent="0.2">
      <c r="A67" s="81"/>
      <c r="B67" s="81"/>
      <c r="C67" s="81"/>
      <c r="D67" s="82"/>
      <c r="E67" s="82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2"/>
      <c r="R67" s="81"/>
      <c r="S67" s="82"/>
    </row>
    <row r="68" spans="1:19" x14ac:dyDescent="0.2">
      <c r="A68" s="81"/>
      <c r="B68" s="81"/>
      <c r="C68" s="81"/>
      <c r="D68" s="82"/>
      <c r="E68" s="82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2"/>
      <c r="R68" s="81"/>
      <c r="S68" s="82"/>
    </row>
    <row r="69" spans="1:19" x14ac:dyDescent="0.2">
      <c r="A69" s="81"/>
      <c r="B69" s="81"/>
      <c r="C69" s="81"/>
      <c r="D69" s="82"/>
      <c r="E69" s="82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2"/>
      <c r="R69" s="81"/>
      <c r="S69" s="82"/>
    </row>
    <row r="70" spans="1:19" x14ac:dyDescent="0.2">
      <c r="A70" s="81"/>
      <c r="B70" s="81"/>
      <c r="C70" s="81"/>
      <c r="D70" s="82"/>
      <c r="E70" s="82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2"/>
      <c r="R70" s="81"/>
      <c r="S70" s="82"/>
    </row>
    <row r="71" spans="1:19" x14ac:dyDescent="0.2">
      <c r="A71" s="81"/>
      <c r="B71" s="81"/>
      <c r="C71" s="81"/>
      <c r="D71" s="82"/>
      <c r="E71" s="82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2"/>
      <c r="R71" s="81"/>
      <c r="S71" s="82"/>
    </row>
    <row r="72" spans="1:19" x14ac:dyDescent="0.2">
      <c r="A72" s="81"/>
      <c r="B72" s="81"/>
      <c r="C72" s="81"/>
      <c r="D72" s="82"/>
      <c r="E72" s="82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2"/>
      <c r="R72" s="81"/>
      <c r="S72" s="82"/>
    </row>
    <row r="73" spans="1:19" x14ac:dyDescent="0.2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2"/>
    </row>
    <row r="74" spans="1:19" x14ac:dyDescent="0.2">
      <c r="A74" s="81"/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2"/>
    </row>
  </sheetData>
  <autoFilter ref="A2:S2">
    <sortState ref="A3:S57">
      <sortCondition ref="S2"/>
    </sortState>
  </autoFilter>
  <sortState ref="A3:S76">
    <sortCondition ref="S35"/>
  </sortState>
  <mergeCells count="1">
    <mergeCell ref="A1:E1"/>
  </mergeCells>
  <conditionalFormatting sqref="A1:A1048576">
    <cfRule type="duplicateValues" dxfId="11" priority="2"/>
  </conditionalFormatting>
  <conditionalFormatting sqref="L1:L1048576">
    <cfRule type="duplicateValues" dxfId="10" priority="1"/>
  </conditionalFormatting>
  <pageMargins left="0.18" right="0.38" top="0.51" bottom="0.34" header="0.3" footer="0.3"/>
  <pageSetup scale="90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3"/>
  <sheetViews>
    <sheetView zoomScale="96" zoomScaleNormal="96" workbookViewId="0">
      <selection activeCell="C6" sqref="C6"/>
    </sheetView>
  </sheetViews>
  <sheetFormatPr baseColWidth="10" defaultRowHeight="15" x14ac:dyDescent="0.2"/>
  <cols>
    <col min="1" max="1" width="11.42578125" style="20" customWidth="1"/>
    <col min="2" max="2" width="21.42578125" style="20" customWidth="1"/>
    <col min="3" max="3" width="24.42578125" style="20" customWidth="1"/>
    <col min="4" max="4" width="27.28515625" style="20" customWidth="1"/>
    <col min="5" max="5" width="24.42578125" style="20" customWidth="1"/>
    <col min="6" max="6" width="14.85546875" style="20" customWidth="1"/>
    <col min="7" max="7" width="13" style="20" customWidth="1"/>
    <col min="8" max="8" width="10.140625" style="20" customWidth="1"/>
    <col min="9" max="10" width="11.42578125" style="20"/>
    <col min="11" max="11" width="11.42578125" style="27"/>
    <col min="12" max="12" width="71.7109375" style="19" bestFit="1" customWidth="1"/>
    <col min="13" max="13" width="18.140625" style="20" customWidth="1"/>
    <col min="14" max="14" width="27.28515625" style="20" customWidth="1"/>
    <col min="15" max="16" width="11.42578125" style="20" customWidth="1"/>
    <col min="17" max="17" width="11.42578125" style="20"/>
    <col min="18" max="18" width="27.42578125" style="20" customWidth="1"/>
    <col min="19" max="19" width="33.28515625" style="20" customWidth="1"/>
    <col min="20" max="20" width="20.7109375" style="20" customWidth="1"/>
    <col min="21" max="21" width="11.42578125" style="20"/>
    <col min="22" max="22" width="17.42578125" style="20" customWidth="1"/>
    <col min="23" max="23" width="22.140625" style="20" customWidth="1"/>
    <col min="24" max="24" width="11.42578125" style="20"/>
    <col min="25" max="25" width="50.28515625" style="20" customWidth="1"/>
    <col min="26" max="26" width="42.140625" style="20" customWidth="1"/>
    <col min="27" max="27" width="23.5703125" style="20" customWidth="1"/>
    <col min="28" max="28" width="23.85546875" style="20" customWidth="1"/>
    <col min="29" max="29" width="21.42578125" style="20" customWidth="1"/>
    <col min="30" max="30" width="25.7109375" style="20" customWidth="1"/>
    <col min="31" max="31" width="27.140625" style="20" customWidth="1"/>
    <col min="32" max="32" width="22.28515625" style="20" customWidth="1"/>
    <col min="33" max="33" width="22.7109375" style="20" customWidth="1"/>
    <col min="34" max="48" width="11.42578125" style="20"/>
    <col min="49" max="49" width="15.28515625" style="20" customWidth="1"/>
    <col min="50" max="50" width="18" style="20" customWidth="1"/>
    <col min="51" max="51" width="21.7109375" style="20" customWidth="1"/>
    <col min="52" max="52" width="24.42578125" style="20" customWidth="1"/>
    <col min="53" max="53" width="20" style="20" customWidth="1"/>
    <col min="54" max="54" width="16" style="20" customWidth="1"/>
    <col min="55" max="55" width="22" style="20" customWidth="1"/>
    <col min="56" max="16384" width="11.42578125" style="20"/>
  </cols>
  <sheetData>
    <row r="1" spans="1:56" ht="15.75" x14ac:dyDescent="0.2">
      <c r="A1" s="134" t="s">
        <v>316</v>
      </c>
      <c r="B1" s="134"/>
      <c r="C1" s="134"/>
      <c r="D1" s="17" t="s">
        <v>434</v>
      </c>
      <c r="E1" s="17"/>
      <c r="F1" s="133"/>
      <c r="G1" s="133"/>
      <c r="I1" s="15"/>
      <c r="J1" s="15"/>
      <c r="K1" s="2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6"/>
      <c r="BA1" s="15"/>
      <c r="BB1" s="15"/>
      <c r="BC1" s="15"/>
      <c r="BD1" s="15"/>
    </row>
    <row r="2" spans="1:56" x14ac:dyDescent="0.2">
      <c r="A2" s="22" t="s">
        <v>379</v>
      </c>
      <c r="B2" s="22" t="s">
        <v>380</v>
      </c>
      <c r="C2" s="22" t="s">
        <v>381</v>
      </c>
      <c r="D2" s="23" t="s">
        <v>382</v>
      </c>
      <c r="E2" s="18" t="s">
        <v>383</v>
      </c>
      <c r="F2" s="18" t="s">
        <v>329</v>
      </c>
      <c r="G2" s="18" t="s">
        <v>330</v>
      </c>
      <c r="H2" s="18" t="s">
        <v>331</v>
      </c>
      <c r="I2" s="18" t="s">
        <v>332</v>
      </c>
      <c r="J2" s="18" t="s">
        <v>333</v>
      </c>
      <c r="K2" s="26" t="s">
        <v>334</v>
      </c>
      <c r="L2" s="18" t="s">
        <v>335</v>
      </c>
      <c r="M2" s="18" t="s">
        <v>336</v>
      </c>
      <c r="N2" s="18" t="s">
        <v>337</v>
      </c>
      <c r="O2" s="18" t="s">
        <v>338</v>
      </c>
      <c r="P2" s="18" t="s">
        <v>339</v>
      </c>
      <c r="Q2" s="18" t="s">
        <v>340</v>
      </c>
      <c r="R2" s="18" t="s">
        <v>341</v>
      </c>
      <c r="S2" s="18" t="s">
        <v>342</v>
      </c>
      <c r="T2" s="18" t="s">
        <v>343</v>
      </c>
      <c r="U2" s="18" t="s">
        <v>344</v>
      </c>
      <c r="V2" s="18" t="s">
        <v>345</v>
      </c>
      <c r="W2" s="18" t="s">
        <v>346</v>
      </c>
      <c r="X2" s="18" t="s">
        <v>347</v>
      </c>
      <c r="Y2" s="18" t="s">
        <v>348</v>
      </c>
      <c r="Z2" s="18" t="s">
        <v>349</v>
      </c>
      <c r="AA2" s="18" t="s">
        <v>350</v>
      </c>
      <c r="AB2" s="18" t="s">
        <v>351</v>
      </c>
      <c r="AC2" s="18" t="s">
        <v>352</v>
      </c>
      <c r="AD2" s="18" t="s">
        <v>353</v>
      </c>
      <c r="AE2" s="18" t="s">
        <v>354</v>
      </c>
      <c r="AF2" s="18" t="s">
        <v>355</v>
      </c>
      <c r="AG2" s="18" t="s">
        <v>356</v>
      </c>
      <c r="AH2" s="18" t="s">
        <v>357</v>
      </c>
      <c r="AI2" s="18" t="s">
        <v>358</v>
      </c>
      <c r="AJ2" s="18" t="s">
        <v>359</v>
      </c>
      <c r="AK2" s="18" t="s">
        <v>360</v>
      </c>
      <c r="AL2" s="18" t="s">
        <v>361</v>
      </c>
      <c r="AM2" s="18" t="s">
        <v>362</v>
      </c>
      <c r="AN2" s="18" t="s">
        <v>363</v>
      </c>
      <c r="AO2" s="18" t="s">
        <v>364</v>
      </c>
      <c r="AP2" s="18" t="s">
        <v>365</v>
      </c>
      <c r="AQ2" s="18" t="s">
        <v>366</v>
      </c>
      <c r="AR2" s="18" t="s">
        <v>367</v>
      </c>
      <c r="AS2" s="18" t="s">
        <v>368</v>
      </c>
      <c r="AT2" s="18" t="s">
        <v>369</v>
      </c>
      <c r="AU2" s="18" t="s">
        <v>370</v>
      </c>
      <c r="AV2" s="18" t="s">
        <v>371</v>
      </c>
      <c r="AW2" s="18" t="s">
        <v>372</v>
      </c>
      <c r="AX2" s="18" t="s">
        <v>373</v>
      </c>
      <c r="AY2" s="18" t="s">
        <v>374</v>
      </c>
      <c r="AZ2" s="24" t="s">
        <v>375</v>
      </c>
      <c r="BA2" s="18" t="s">
        <v>376</v>
      </c>
      <c r="BB2" s="18" t="s">
        <v>377</v>
      </c>
      <c r="BC2" s="18" t="s">
        <v>378</v>
      </c>
      <c r="BD2" s="18" t="s">
        <v>111</v>
      </c>
    </row>
    <row r="3" spans="1:56" s="21" customFormat="1" ht="16.5" customHeight="1" x14ac:dyDescent="0.2">
      <c r="K3" s="64"/>
      <c r="L3" s="65"/>
    </row>
    <row r="4" spans="1:56" s="21" customFormat="1" x14ac:dyDescent="0.2">
      <c r="K4" s="64"/>
      <c r="L4" s="65"/>
    </row>
    <row r="5" spans="1:56" s="21" customFormat="1" ht="15.75" customHeight="1" x14ac:dyDescent="0.2">
      <c r="K5" s="64"/>
      <c r="L5" s="65"/>
    </row>
    <row r="6" spans="1:56" s="21" customFormat="1" x14ac:dyDescent="0.2">
      <c r="K6" s="64"/>
      <c r="L6" s="65"/>
    </row>
    <row r="7" spans="1:56" s="21" customFormat="1" x14ac:dyDescent="0.2">
      <c r="K7" s="64"/>
      <c r="L7" s="65"/>
    </row>
    <row r="8" spans="1:56" s="21" customFormat="1" ht="15.75" customHeight="1" x14ac:dyDescent="0.2">
      <c r="K8" s="64"/>
      <c r="L8" s="65"/>
    </row>
    <row r="9" spans="1:56" s="21" customFormat="1" ht="15" customHeight="1" x14ac:dyDescent="0.2">
      <c r="K9" s="64"/>
      <c r="L9" s="65"/>
    </row>
    <row r="10" spans="1:56" s="21" customFormat="1" ht="15.75" customHeight="1" x14ac:dyDescent="0.2">
      <c r="K10" s="64"/>
      <c r="L10" s="65"/>
    </row>
    <row r="11" spans="1:56" s="21" customFormat="1" ht="15.75" customHeight="1" x14ac:dyDescent="0.2">
      <c r="K11" s="64"/>
      <c r="L11" s="65"/>
    </row>
    <row r="12" spans="1:56" s="21" customFormat="1" ht="16.5" customHeight="1" x14ac:dyDescent="0.2">
      <c r="K12" s="64"/>
      <c r="L12" s="65"/>
    </row>
    <row r="13" spans="1:56" s="21" customFormat="1" x14ac:dyDescent="0.2">
      <c r="K13" s="64"/>
      <c r="L13" s="65"/>
    </row>
    <row r="14" spans="1:56" s="21" customFormat="1" x14ac:dyDescent="0.2">
      <c r="K14" s="64"/>
      <c r="L14" s="65"/>
    </row>
    <row r="15" spans="1:56" s="21" customFormat="1" ht="14.25" customHeight="1" x14ac:dyDescent="0.2">
      <c r="K15" s="64"/>
      <c r="L15" s="65"/>
    </row>
    <row r="16" spans="1:56" s="21" customFormat="1" ht="13.5" customHeight="1" x14ac:dyDescent="0.2">
      <c r="K16" s="64"/>
      <c r="L16" s="65"/>
    </row>
    <row r="17" spans="11:12" s="21" customFormat="1" x14ac:dyDescent="0.2">
      <c r="K17" s="64"/>
      <c r="L17" s="65"/>
    </row>
    <row r="18" spans="11:12" s="21" customFormat="1" x14ac:dyDescent="0.2">
      <c r="K18" s="64"/>
      <c r="L18" s="65"/>
    </row>
    <row r="19" spans="11:12" s="21" customFormat="1" x14ac:dyDescent="0.2">
      <c r="K19" s="64"/>
      <c r="L19" s="65"/>
    </row>
    <row r="20" spans="11:12" s="21" customFormat="1" x14ac:dyDescent="0.2">
      <c r="K20" s="64"/>
      <c r="L20" s="65"/>
    </row>
    <row r="21" spans="11:12" s="21" customFormat="1" ht="15.75" customHeight="1" x14ac:dyDescent="0.2">
      <c r="K21" s="64"/>
      <c r="L21" s="65"/>
    </row>
    <row r="22" spans="11:12" s="21" customFormat="1" ht="15.75" customHeight="1" x14ac:dyDescent="0.2">
      <c r="K22" s="64"/>
      <c r="L22" s="65"/>
    </row>
    <row r="23" spans="11:12" s="21" customFormat="1" x14ac:dyDescent="0.2">
      <c r="K23" s="64"/>
      <c r="L23" s="65"/>
    </row>
    <row r="24" spans="11:12" s="21" customFormat="1" x14ac:dyDescent="0.2">
      <c r="K24" s="64"/>
      <c r="L24" s="65"/>
    </row>
    <row r="25" spans="11:12" s="21" customFormat="1" ht="15.75" customHeight="1" x14ac:dyDescent="0.2">
      <c r="K25" s="64"/>
      <c r="L25" s="65"/>
    </row>
    <row r="26" spans="11:12" s="21" customFormat="1" x14ac:dyDescent="0.2">
      <c r="K26" s="64"/>
      <c r="L26" s="65"/>
    </row>
    <row r="27" spans="11:12" s="21" customFormat="1" ht="15.75" customHeight="1" x14ac:dyDescent="0.2">
      <c r="K27" s="64"/>
      <c r="L27" s="65"/>
    </row>
    <row r="28" spans="11:12" s="21" customFormat="1" ht="14.25" customHeight="1" x14ac:dyDescent="0.2">
      <c r="K28" s="64"/>
      <c r="L28" s="65"/>
    </row>
    <row r="29" spans="11:12" s="21" customFormat="1" x14ac:dyDescent="0.2">
      <c r="K29" s="64"/>
      <c r="L29" s="65"/>
    </row>
    <row r="30" spans="11:12" s="21" customFormat="1" ht="15" customHeight="1" x14ac:dyDescent="0.2">
      <c r="K30" s="64"/>
      <c r="L30" s="65"/>
    </row>
    <row r="31" spans="11:12" s="21" customFormat="1" x14ac:dyDescent="0.2">
      <c r="K31" s="64"/>
      <c r="L31" s="65"/>
    </row>
    <row r="32" spans="11:12" s="21" customFormat="1" x14ac:dyDescent="0.2">
      <c r="K32" s="64"/>
      <c r="L32" s="65"/>
    </row>
    <row r="33" spans="11:12" s="21" customFormat="1" ht="17.25" customHeight="1" x14ac:dyDescent="0.2">
      <c r="K33" s="64"/>
      <c r="L33" s="65"/>
    </row>
    <row r="34" spans="11:12" s="21" customFormat="1" ht="14.25" customHeight="1" x14ac:dyDescent="0.2">
      <c r="K34" s="64"/>
      <c r="L34" s="65"/>
    </row>
    <row r="35" spans="11:12" s="21" customFormat="1" ht="15.75" customHeight="1" x14ac:dyDescent="0.2">
      <c r="K35" s="64"/>
      <c r="L35" s="65"/>
    </row>
    <row r="36" spans="11:12" s="21" customFormat="1" ht="14.25" customHeight="1" x14ac:dyDescent="0.2">
      <c r="K36" s="64"/>
      <c r="L36" s="65"/>
    </row>
    <row r="37" spans="11:12" s="21" customFormat="1" x14ac:dyDescent="0.2">
      <c r="K37" s="64"/>
      <c r="L37" s="65"/>
    </row>
    <row r="38" spans="11:12" s="21" customFormat="1" ht="15" customHeight="1" x14ac:dyDescent="0.2">
      <c r="K38" s="64"/>
      <c r="L38" s="65"/>
    </row>
    <row r="39" spans="11:12" s="21" customFormat="1" ht="15" customHeight="1" x14ac:dyDescent="0.2">
      <c r="K39" s="64"/>
      <c r="L39" s="65"/>
    </row>
    <row r="40" spans="11:12" s="21" customFormat="1" x14ac:dyDescent="0.2">
      <c r="K40" s="64"/>
      <c r="L40" s="65"/>
    </row>
    <row r="41" spans="11:12" s="21" customFormat="1" ht="15" customHeight="1" x14ac:dyDescent="0.2">
      <c r="K41" s="64"/>
      <c r="L41" s="65"/>
    </row>
    <row r="42" spans="11:12" s="21" customFormat="1" x14ac:dyDescent="0.2">
      <c r="K42" s="64"/>
      <c r="L42" s="65"/>
    </row>
    <row r="43" spans="11:12" s="21" customFormat="1" x14ac:dyDescent="0.2">
      <c r="K43" s="64"/>
      <c r="L43" s="65"/>
    </row>
    <row r="44" spans="11:12" s="21" customFormat="1" x14ac:dyDescent="0.2">
      <c r="K44" s="64"/>
      <c r="L44" s="65"/>
    </row>
    <row r="45" spans="11:12" s="21" customFormat="1" x14ac:dyDescent="0.2">
      <c r="K45" s="64"/>
      <c r="L45" s="65"/>
    </row>
    <row r="46" spans="11:12" s="21" customFormat="1" x14ac:dyDescent="0.2">
      <c r="K46" s="64"/>
      <c r="L46" s="65"/>
    </row>
    <row r="47" spans="11:12" s="21" customFormat="1" ht="14.25" customHeight="1" x14ac:dyDescent="0.2">
      <c r="K47" s="64"/>
      <c r="L47" s="65"/>
    </row>
    <row r="48" spans="11:12" s="21" customFormat="1" x14ac:dyDescent="0.2">
      <c r="K48" s="64"/>
      <c r="L48" s="65"/>
    </row>
    <row r="49" spans="1:56" s="21" customFormat="1" x14ac:dyDescent="0.2">
      <c r="K49" s="64"/>
      <c r="L49" s="65"/>
    </row>
    <row r="50" spans="1:56" s="21" customFormat="1" ht="15" customHeight="1" x14ac:dyDescent="0.2">
      <c r="K50" s="64"/>
      <c r="L50" s="65"/>
    </row>
    <row r="51" spans="1:56" ht="15.75" customHeight="1" x14ac:dyDescent="0.2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64"/>
      <c r="L51" s="65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</row>
    <row r="52" spans="1:56" x14ac:dyDescent="0.2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64"/>
      <c r="L52" s="65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</row>
    <row r="53" spans="1:56" x14ac:dyDescent="0.2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64"/>
      <c r="L53" s="65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</row>
    <row r="54" spans="1:56" x14ac:dyDescent="0.2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64"/>
      <c r="L54" s="65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</row>
    <row r="55" spans="1:56" x14ac:dyDescent="0.2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64"/>
      <c r="L55" s="65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</row>
    <row r="56" spans="1:56" x14ac:dyDescent="0.2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64"/>
      <c r="L56" s="65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</row>
    <row r="57" spans="1:56" x14ac:dyDescent="0.2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64"/>
      <c r="L57" s="65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</row>
    <row r="58" spans="1:56" x14ac:dyDescent="0.2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64"/>
      <c r="L58" s="65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</row>
    <row r="59" spans="1:56" x14ac:dyDescent="0.2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64"/>
      <c r="L59" s="65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</row>
    <row r="60" spans="1:56" x14ac:dyDescent="0.2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64"/>
      <c r="L60" s="65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</row>
    <row r="61" spans="1:56" ht="15.75" customHeight="1" x14ac:dyDescent="0.2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64"/>
      <c r="L61" s="65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</row>
    <row r="62" spans="1:56" ht="15" customHeight="1" x14ac:dyDescent="0.2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64"/>
      <c r="L62" s="65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</row>
    <row r="63" spans="1:56" x14ac:dyDescent="0.2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64"/>
      <c r="L63" s="65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</row>
    <row r="64" spans="1:56" x14ac:dyDescent="0.2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64"/>
      <c r="L64" s="65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</row>
    <row r="65" spans="1:56" x14ac:dyDescent="0.2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64"/>
      <c r="L65" s="65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</row>
    <row r="66" spans="1:56" s="21" customFormat="1" ht="15" customHeight="1" x14ac:dyDescent="0.2">
      <c r="K66" s="64"/>
      <c r="L66" s="65"/>
    </row>
    <row r="67" spans="1:56" s="21" customFormat="1" x14ac:dyDescent="0.2">
      <c r="A67" s="85"/>
      <c r="B67" s="85"/>
      <c r="C67" s="85"/>
      <c r="D67" s="85"/>
      <c r="E67" s="85"/>
      <c r="F67" s="85"/>
      <c r="G67" s="85"/>
      <c r="H67" s="85"/>
      <c r="I67" s="85"/>
      <c r="J67" s="85"/>
      <c r="K67" s="86"/>
      <c r="L67" s="87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85"/>
      <c r="AN67" s="85"/>
      <c r="AO67" s="85"/>
      <c r="AP67" s="85"/>
      <c r="AQ67" s="85"/>
      <c r="AR67" s="85"/>
      <c r="AS67" s="85"/>
      <c r="AT67" s="85"/>
      <c r="AU67" s="85"/>
      <c r="AV67" s="85"/>
      <c r="AW67" s="85"/>
      <c r="AX67" s="85"/>
      <c r="AY67" s="85"/>
      <c r="AZ67" s="85"/>
      <c r="BA67" s="85"/>
      <c r="BB67" s="85"/>
      <c r="BC67" s="85"/>
      <c r="BD67" s="85"/>
    </row>
    <row r="68" spans="1:56" ht="14.25" customHeight="1" x14ac:dyDescent="0.2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64"/>
      <c r="L68" s="65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</row>
    <row r="69" spans="1:56" ht="15.75" customHeight="1" x14ac:dyDescent="0.2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64"/>
      <c r="L69" s="65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</row>
    <row r="70" spans="1:56" ht="15.75" customHeight="1" x14ac:dyDescent="0.2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64"/>
      <c r="L70" s="65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</row>
    <row r="71" spans="1:56" ht="14.25" customHeight="1" x14ac:dyDescent="0.2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64"/>
      <c r="L71" s="65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</row>
    <row r="72" spans="1:56" ht="15" customHeight="1" x14ac:dyDescent="0.2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64"/>
      <c r="L72" s="65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</row>
    <row r="73" spans="1:56" ht="14.25" customHeight="1" x14ac:dyDescent="0.2"/>
  </sheetData>
  <sortState ref="A3:BD74">
    <sortCondition ref="BD43"/>
  </sortState>
  <mergeCells count="2">
    <mergeCell ref="F1:G1"/>
    <mergeCell ref="A1:C1"/>
  </mergeCells>
  <conditionalFormatting sqref="F2">
    <cfRule type="duplicateValues" dxfId="9" priority="10" stopIfTrue="1"/>
  </conditionalFormatting>
  <conditionalFormatting sqref="Z1:Z2">
    <cfRule type="duplicateValues" dxfId="8" priority="9" stopIfTrue="1"/>
  </conditionalFormatting>
  <conditionalFormatting sqref="F1:F5 F9:F1048576">
    <cfRule type="duplicateValues" dxfId="7" priority="8"/>
  </conditionalFormatting>
  <conditionalFormatting sqref="F6:F8">
    <cfRule type="duplicateValues" dxfId="6" priority="7"/>
  </conditionalFormatting>
  <conditionalFormatting sqref="Z1:Z1048576">
    <cfRule type="duplicateValues" dxfId="5" priority="6"/>
  </conditionalFormatting>
  <conditionalFormatting sqref="AE1:AE1048576">
    <cfRule type="duplicateValues" dxfId="4" priority="1"/>
    <cfRule type="duplicateValues" dxfId="3" priority="2"/>
    <cfRule type="duplicateValues" dxfId="2" priority="5"/>
  </conditionalFormatting>
  <conditionalFormatting sqref="Y1:Y1048576">
    <cfRule type="duplicateValues" dxfId="1" priority="4"/>
  </conditionalFormatting>
  <conditionalFormatting sqref="F1:F1048576">
    <cfRule type="duplicateValues" dxfId="0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"/>
  <sheetViews>
    <sheetView workbookViewId="0">
      <selection activeCell="B1" sqref="B1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3" t="s">
        <v>408</v>
      </c>
      <c r="B2" s="73" t="s">
        <v>409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2023-08-23T22:18:39Z</cp:lastPrinted>
  <dcterms:created xsi:type="dcterms:W3CDTF">2022-06-23T22:24:49Z</dcterms:created>
  <dcterms:modified xsi:type="dcterms:W3CDTF">2023-09-27T22:21:47Z</dcterms:modified>
</cp:coreProperties>
</file>