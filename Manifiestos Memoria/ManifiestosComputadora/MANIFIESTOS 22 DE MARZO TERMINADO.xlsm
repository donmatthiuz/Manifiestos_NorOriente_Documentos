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KENNY!$A$2:$BD$44</definedName>
    <definedName name="_xlnm._FilterDatabase" localSheetId="2" hidden="1">Manifiesto!$M$1:$M$73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<sst xmlns="http://schemas.openxmlformats.org/spreadsheetml/2006/main" count="3109" uniqueCount="682">
  <si>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</si>
  <si>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</si>
  <si>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</si>
  <si>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</si>
  <si>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</si>
  <si>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</si>
  <si>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</si>
  <si>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</si>
  <si>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</si>
  <si>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</si>
  <si>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</si>
  <si>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</si>
  <si>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</si>
  <si>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</si>
  <si>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</si>
  <si>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</si>
  <si>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</si>
  <si>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</si>
  <si>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</si>
  <si>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</si>
  <si>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</si>
  <si>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</si>
  <si>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</si>
  <si>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</si>
  <si>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</si>
  <si>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</si>
  <si>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</si>
  <si>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</si>
  <si>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</si>
  <si>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</si>
  <si>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</si>
  <si>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</si>
  <si>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</si>
  <si>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</si>
  <si>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</si>
  <si>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</si>
  <si>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</si>
  <si>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</si>
  <si>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</si>
  <si>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</si>
  <si>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</si>
  <si>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</si>
  <si>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</si>
  <si>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</si>
  <si>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</si>
  <si>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</si>
  <si>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</si>
  <si>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</si>
  <si>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</si>
  <si>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</si>
  <si>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</si>
  <si>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</si>
  <si>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</si>
  <si>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</si>
  <si>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</si>
  <si>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</si>
  <si>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</si>
  <si>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</si>
  <si>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</si>
  <si>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</si>
  <si>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</si>
  <si>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</si>
  <si>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</si>
  <si>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</si>
  <si>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</si>
  <si>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</si>
  <si>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</si>
  <si>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</si>
  <si>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</si>
  <si>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</si>
  <si>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</si>
  <si>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</si>
  <si>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</si>
  <si>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</si>
  <si>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</si>
  <si>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</si>
  <si>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</si>
  <si>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</si>
  <si>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</si>
  <si>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</si>
  <si>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</si>
  <si>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</si>
  <si>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</si>
  <si>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</si>
  <si>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</si>
  <si>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</si>
  <si>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</si>
  <si>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</si>
  <si>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</si>
  <si>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</si>
  <si>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</si>
  <si>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</si>
  <si>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</si>
  <si>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</si>
  <si>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</si>
  <si>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</si>
  <si>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</si>
  <si>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</si>
  <si>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</si>
  <si>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</si>
  <si>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</si>
  <si>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</si>
  <si>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</si>
  <si>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</si>
  <si>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</si>
  <si>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</si>
  <si>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</si>
  <si>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</si>
  <si>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</si>
  <si>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</si>
  <si>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</si>
  <si>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</si>
  <si>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</si>
  <si>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</si>
  <si>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</si>
  <si>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</si>
  <si>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</si>
  <si>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</si>
  <si>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</si>
  <si>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</si>
  <si>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</si>
  <si>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</si>
  <si>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</si>
  <si>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</si>
  <si>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</si>
  <si>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</si>
  <si>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</si>
  <si>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</si>
  <si>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</si>
  <si>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</si>
  <si>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</si>
  <si>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</si>
  <si>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</si>
  <si>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</si>
  <si>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</si>
  <si>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</si>
  <si>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</si>
  <si>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</si>
  <si>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</si>
  <si>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</si>
  <si>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</si>
  <si>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</si>
  <si>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</si>
  <si>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</si>
  <si>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</si>
  <si>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</si>
  <si>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</si>
  <si>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</si>
  <si>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</si>
  <si>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</si>
  <si>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</si>
  <si>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</si>
  <si>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</si>
  <si>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</si>
  <si>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</si>
  <si>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</si>
  <si>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</si>
  <si>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</si>
  <si>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</si>
  <si>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</si>
  <si>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</si>
  <si>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</si>
  <si>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</si>
  <si>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</si>
  <si>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</si>
  <si>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</si>
  <si>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</si>
  <si>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</si>
  <si>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</si>
  <si>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</si>
  <si>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</si>
  <si>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</si>
  <si>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</si>
  <si>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</si>
  <si>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</si>
  <si>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</si>
  <si>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</si>
  <si>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</si>
  <si>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</si>
  <si>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</si>
  <si>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</si>
  <si>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</si>
  <si>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</si>
  <si>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</si>
  <si>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</si>
  <si>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</si>
  <si>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</si>
  <si>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</si>
  <si>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</si>
  <si>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</si>
  <si>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</si>
  <si>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</si>
  <si>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</si>
  <si>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</si>
  <si>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</si>
  <si>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</si>
  <si>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</si>
  <si>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</si>
  <si>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</si>
  <si>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</si>
  <si>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</si>
  <si>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</si>
  <si>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</si>
  <si>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</si>
  <si>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</si>
  <si>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</si>
  <si>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</si>
  <si>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</si>
  <si>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</si>
  <si>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</si>
  <si>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</si>
  <si>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</si>
  <si>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</si>
  <si>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</si>
  <si>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</si>
  <si>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</si>
  <si>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</si>
  <si>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</si>
  <si>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</si>
  <si>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</si>
  <si>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</si>
  <si>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</si>
  <si>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</si>
  <si>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</si>
  <si>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</si>
  <si>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</si>
  <si>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</si>
  <si>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</si>
  <si>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</si>
  <si>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</si>
  <si>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</si>
  <si>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</si>
  <si>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</si>
  <si>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</si>
  <si>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</si>
  <si>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</si>
  <si>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</si>
  <si>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</si>
  <si>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</si>
  <si>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</si>
  <si>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</si>
  <si>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</si>
  <si>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</si>
  <si>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</si>
  <si>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</si>
  <si>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</si>
  <si>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</si>
  <si>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</si>
  <si>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</si>
  <si>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</si>
  <si>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</si>
  <si>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</si>
  <si>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</si>
  <si>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</si>
  <si>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</si>
  <si>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</si>
  <si>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</si>
  <si>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</si>
  <si>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</si>
  <si>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</si>
  <si>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</si>
  <si>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</si>
  <si>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</si>
  <si>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</si>
  <si>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</si>
  <si>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</si>
  <si>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</si>
  <si>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</si>
  <si>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</si>
  <si>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</si>
  <si>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</si>
  <si>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</si>
  <si>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</si>
  <si>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</si>
  <si>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</si>
  <si>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</si>
  <si>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</si>
  <si>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</si>
  <si>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</si>
  <si>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</si>
  <si>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</si>
  <si>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</si>
  <si>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</si>
  <si>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</si>
  <si>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</si>
  <si>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</si>
  <si>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</si>
  <si>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</si>
  <si>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</si>
  <si>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</si>
  <si>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</si>
  <si>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</si>
  <si>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</si>
  <si>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</si>
  <si>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</si>
  <si>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</si>
  <si>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</si>
  <si>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</si>
  <si>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</si>
  <si>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</si>
  <si>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</si>
  <si>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</si>
  <si>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</si>
  <si>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</si>
  <si>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</si>
  <si>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</si>
  <si>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</si>
  <si>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</si>
  <si>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</si>
  <si>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</si>
  <si>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</si>
  <si>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</si>
  <si>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</si>
  <si>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</si>
  <si>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</si>
  <si>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</si>
  <si>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</si>
  <si>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</si>
  <si>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</si>
  <si>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</si>
  <si>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</si>
  <si>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</si>
  <si>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</si>
  <si>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</si>
  <si>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</si>
  <si>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</si>
  <si>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</si>
  <si>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</si>
  <si>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</si>
  <si>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</si>
  <si>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</si>
  <si>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</si>
  <si>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</si>
  <si>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</si>
  <si>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</si>
  <si>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</si>
  <si>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</si>
  <si>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</si>
  <si>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</si>
  <si>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</si>
  <si>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</si>
  <si>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</si>
  <si>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</si>
  <si>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</si>
  <si>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</si>
  <si>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</si>
  <si>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</si>
  <si>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</si>
  <si>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</si>
  <si>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</si>
  <si>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</si>
  <si>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</si>
  <si>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</si>
  <si>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</si>
  <si>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</si>
  <si>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</si>
  <si>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</si>
  <si>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</si>
  <si>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</si>
  <si>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</si>
  <si>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</si>
  <si>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</si>
  <si>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</si>
  <si>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</si>
  <si>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</si>
  <si>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</si>
  <si>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</si>
  <si>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</si>
  <si>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</si>
  <si>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</si>
  <si>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</si>
  <si>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</si>
  <si>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</si>
  <si>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</si>
  <si>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</si>
  <si>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</si>
  <si>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</si>
  <si>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</si>
  <si>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</si>
  <si>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</si>
  <si>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</si>
  <si>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</si>
  <si>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</si>
  <si>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</si>
  <si>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</si>
  <si>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</si>
  <si>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</si>
  <si>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</si>
  <si>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</si>
  <si>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</si>
  <si>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</si>
  <si>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</si>
  <si>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</si>
  <si>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</si>
  <si>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</si>
  <si>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</si>
  <si>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</si>
  <si>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</si>
  <si>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</si>
  <si>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</si>
  <si>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</si>
  <si>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</si>
  <si>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</si>
  <si>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</si>
  <si>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</si>
  <si>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</si>
  <si>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</si>
  <si>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</si>
  <si>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</si>
  <si>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</si>
  <si>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</si>
  <si>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</si>
  <si>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</si>
  <si>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</si>
  <si>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</si>
  <si>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</si>
  <si>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</si>
  <si>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</si>
  <si>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</si>
  <si>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</si>
  <si>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</si>
  <si>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</si>
  <si>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</si>
  <si>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</si>
  <si>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</si>
  <si>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</si>
  <si>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</si>
  <si>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</si>
  <si>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</si>
  <si>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202 - 3016 7944</t>
  </si>
  <si>
    <t>010M</t>
  </si>
  <si>
    <t xml:space="preserve">ADRIANA HERNANDEZ </t>
  </si>
  <si>
    <t xml:space="preserve">MARCELA HERNANDEZ LOPEZ </t>
  </si>
  <si>
    <t xml:space="preserve">YESSIKA </t>
  </si>
  <si>
    <t>FRIO</t>
  </si>
  <si>
    <t>GUA</t>
  </si>
  <si>
    <t>JFK</t>
  </si>
  <si>
    <t>F703</t>
  </si>
  <si>
    <t xml:space="preserve"> 3016 7944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</si>
  <si>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</si>
  <si>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</si>
  <si>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</si>
  <si>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</si>
  <si>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</si>
  <si>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</si>
  <si>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</si>
  <si>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</si>
  <si>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</si>
  <si>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</si>
  <si>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</si>
  <si>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 </t>
  </si>
  <si>
    <t>006M</t>
  </si>
  <si>
    <t xml:space="preserve">REINA AMADOR </t>
  </si>
  <si>
    <t xml:space="preserve">EDER ALDANA </t>
  </si>
  <si>
    <t xml:space="preserve">MIRNA </t>
  </si>
  <si>
    <t xml:space="preserve">BREAD,CHEESE,COOKED VEGETABLES </t>
  </si>
  <si>
    <t>007M</t>
  </si>
  <si>
    <t xml:space="preserve">CONY RAMOS </t>
  </si>
  <si>
    <t xml:space="preserve">GILMA RAMOS </t>
  </si>
  <si>
    <t xml:space="preserve">EVELYN </t>
  </si>
  <si>
    <t xml:space="preserve">CHEESE,TAMALITOS,CONDIMENTS,COOKED VEGETABLES </t>
  </si>
  <si>
    <t>906M</t>
  </si>
  <si>
    <t xml:space="preserve">VICTORIA MORALES </t>
  </si>
  <si>
    <t xml:space="preserve">KENY HERNANDEZ </t>
  </si>
  <si>
    <t>907M</t>
  </si>
  <si>
    <t xml:space="preserve">GILMA LOPEZ </t>
  </si>
  <si>
    <t xml:space="preserve">HENRRY VILLEDA </t>
  </si>
  <si>
    <t xml:space="preserve">LORENA </t>
  </si>
  <si>
    <t xml:space="preserve">CHEESE,PRESERVE,COOKED VEGETABLES </t>
  </si>
  <si>
    <t>307M</t>
  </si>
  <si>
    <t xml:space="preserve">BELSY SOTO </t>
  </si>
  <si>
    <t xml:space="preserve">ROSA MARTINEZ </t>
  </si>
  <si>
    <t xml:space="preserve">JACKELINE </t>
  </si>
  <si>
    <t xml:space="preserve">BREAD,CHEESE,CANDYS,CONDIMENTS,COOKED VEGETABLES </t>
  </si>
  <si>
    <t>319M</t>
  </si>
  <si>
    <t xml:space="preserve">ERICKA MANCHAME </t>
  </si>
  <si>
    <t xml:space="preserve">JHONY MANCHAME </t>
  </si>
  <si>
    <t xml:space="preserve">CHEESE,TAMALITOS,COOKED VEGETABLES </t>
  </si>
  <si>
    <t>441M</t>
  </si>
  <si>
    <t xml:space="preserve">ENILDA JUAREZ </t>
  </si>
  <si>
    <t xml:space="preserve">RONI JACOME </t>
  </si>
  <si>
    <t xml:space="preserve">CLEMENCIA </t>
  </si>
  <si>
    <t xml:space="preserve">CHEESE,COOKED VEGETABLES,VITAMIN SUPPLEMENTS </t>
  </si>
  <si>
    <t>446M</t>
  </si>
  <si>
    <t xml:space="preserve">DIONILA MARTINEZ </t>
  </si>
  <si>
    <t xml:space="preserve">DALILA MORALES </t>
  </si>
  <si>
    <t xml:space="preserve">NORMA </t>
  </si>
  <si>
    <t xml:space="preserve">CHEESE,COOKED VEGETABLES </t>
  </si>
  <si>
    <t>508M</t>
  </si>
  <si>
    <t xml:space="preserve">HORACIO LEMUS </t>
  </si>
  <si>
    <t xml:space="preserve">SANDRA LEMUS </t>
  </si>
  <si>
    <t>515M</t>
  </si>
  <si>
    <t xml:space="preserve">RAQUEL MADRID </t>
  </si>
  <si>
    <t xml:space="preserve">FRANCISCO OSORIO </t>
  </si>
  <si>
    <t xml:space="preserve">NORA </t>
  </si>
  <si>
    <t>134M</t>
  </si>
  <si>
    <t xml:space="preserve">MIRNA MEX </t>
  </si>
  <si>
    <t xml:space="preserve">IRIS MEX </t>
  </si>
  <si>
    <t xml:space="preserve">TAMALITOS, COOKED VEGETABLES </t>
  </si>
  <si>
    <t>160M</t>
  </si>
  <si>
    <t xml:space="preserve">CONY LEMUS </t>
  </si>
  <si>
    <t xml:space="preserve">NIXON LEMUS </t>
  </si>
  <si>
    <t xml:space="preserve">BREAD,CHEESE,PRESERVE,COOKED VEGETABLES </t>
  </si>
  <si>
    <t>472M</t>
  </si>
  <si>
    <t xml:space="preserve">NERCIA PEREZ </t>
  </si>
  <si>
    <t xml:space="preserve">FEDERICO MARROQUIN </t>
  </si>
  <si>
    <t>020M</t>
  </si>
  <si>
    <t xml:space="preserve">JAVIER BALCARCEL </t>
  </si>
  <si>
    <t xml:space="preserve">NOHEMY BALCARCEL </t>
  </si>
  <si>
    <t xml:space="preserve">DAVID </t>
  </si>
  <si>
    <t>025M</t>
  </si>
  <si>
    <t xml:space="preserve">MENQUELY BOCH </t>
  </si>
  <si>
    <t xml:space="preserve">ROBERTO GOMEZ BOCH </t>
  </si>
  <si>
    <t>800K</t>
  </si>
  <si>
    <t xml:space="preserve">NAIDELYN SOLIS GARCIA </t>
  </si>
  <si>
    <t xml:space="preserve">GORGE SOLIS </t>
  </si>
  <si>
    <t xml:space="preserve">BREAD,CHEESE,TAMALITOS,PRESERVE,COOKED VEGETABLES </t>
  </si>
  <si>
    <t>600K</t>
  </si>
  <si>
    <t xml:space="preserve">ELSA SOTO </t>
  </si>
  <si>
    <t xml:space="preserve">ROSITA BERVENO </t>
  </si>
  <si>
    <t>1000A</t>
  </si>
  <si>
    <t xml:space="preserve">AURA AQUINO </t>
  </si>
  <si>
    <t xml:space="preserve">KEVIN ERAZO </t>
  </si>
  <si>
    <t>220B</t>
  </si>
  <si>
    <t xml:space="preserve">REGINA ROMERO </t>
  </si>
  <si>
    <t xml:space="preserve">AMPARO ROMERO </t>
  </si>
  <si>
    <t xml:space="preserve">BREAD,CHEESE,PRESERVE,TAMALITOS,COOKED VEGETABLES </t>
  </si>
  <si>
    <t>030B</t>
  </si>
  <si>
    <t xml:space="preserve">ILMA SAGASTUME </t>
  </si>
  <si>
    <t xml:space="preserve">YEIMI CARDONA </t>
  </si>
  <si>
    <t>442M</t>
  </si>
  <si>
    <t xml:space="preserve">MARINA PASCUAL </t>
  </si>
  <si>
    <t xml:space="preserve">MARLON PASCUAL </t>
  </si>
  <si>
    <t xml:space="preserve">BREAD,PEANUTS,CHIPS,HONEY,COFFE,CONDIMENTS,ACCESORIES,NATURAL MEDICINE </t>
  </si>
  <si>
    <t>454M</t>
  </si>
  <si>
    <t xml:space="preserve">ELENA CONTRERAS </t>
  </si>
  <si>
    <t xml:space="preserve">REYNA JACINTO </t>
  </si>
  <si>
    <t xml:space="preserve">BREAD,PRESERVE,COFFE,NATURAL MEDICINE </t>
  </si>
  <si>
    <t>411M</t>
  </si>
  <si>
    <t xml:space="preserve">FREDY FAJARDO </t>
  </si>
  <si>
    <t xml:space="preserve">DIONY VELASQUEZ </t>
  </si>
  <si>
    <t xml:space="preserve">CHEESE,BREAD,HONEY,PEANUTS,CANDYS,CONDIMENTS </t>
  </si>
  <si>
    <t>130M</t>
  </si>
  <si>
    <t xml:space="preserve">AMPARO CELADA </t>
  </si>
  <si>
    <t xml:space="preserve">MANOLO VARGAS </t>
  </si>
  <si>
    <t>BREAD,CHEESE,HONEY,PRESERVE,COFFE,CONDIMENTS</t>
  </si>
  <si>
    <t>908M</t>
  </si>
  <si>
    <t xml:space="preserve">MIRNA ISABEL LOPEZ </t>
  </si>
  <si>
    <t xml:space="preserve">CARLOS ROBERTO MARTINEZ </t>
  </si>
  <si>
    <t xml:space="preserve">BREAD,HONEY,CLOTHES,CANDYS,PRESERVE,CONDIMENTS </t>
  </si>
  <si>
    <t>301M</t>
  </si>
  <si>
    <t xml:space="preserve">MARTA CARDONA </t>
  </si>
  <si>
    <t xml:space="preserve">YANIRA CALDERON </t>
  </si>
  <si>
    <t xml:space="preserve">CLOTHES,NUTS,CLOTHES,COSMETICS,NATURAL MEDICINE </t>
  </si>
  <si>
    <t>208M</t>
  </si>
  <si>
    <t xml:space="preserve">NINFA CABRERA </t>
  </si>
  <si>
    <t xml:space="preserve">YESSICA ALVARADO </t>
  </si>
  <si>
    <t xml:space="preserve">CLOTHES </t>
  </si>
  <si>
    <t>209M</t>
  </si>
  <si>
    <t xml:space="preserve">CARLOS CRUZ </t>
  </si>
  <si>
    <t xml:space="preserve">ANDRES ROMERO </t>
  </si>
  <si>
    <t>210M</t>
  </si>
  <si>
    <t xml:space="preserve">NNFA CABRERA </t>
  </si>
  <si>
    <t xml:space="preserve">ASTRID CERON </t>
  </si>
  <si>
    <t>CLOTHES</t>
  </si>
  <si>
    <t>205M</t>
  </si>
  <si>
    <t xml:space="preserve">ANGELA BUCARO </t>
  </si>
  <si>
    <t>CARLOS PINERA</t>
  </si>
  <si>
    <t xml:space="preserve">CLOTHES,TECOMATES </t>
  </si>
  <si>
    <t>422M</t>
  </si>
  <si>
    <t xml:space="preserve">SANDRA SALAZAR </t>
  </si>
  <si>
    <t xml:space="preserve">LESBIA SALAZAR </t>
  </si>
  <si>
    <t xml:space="preserve">BREAD,PEANUTS,CHEESE,COFFE,PRESERVE </t>
  </si>
  <si>
    <t>021M</t>
  </si>
  <si>
    <t xml:space="preserve">MIGUEL ANGEL GOMEZ </t>
  </si>
  <si>
    <t xml:space="preserve">RUBI GOMEZ ARGUETA </t>
  </si>
  <si>
    <t xml:space="preserve">LILY </t>
  </si>
  <si>
    <t xml:space="preserve">SHOES </t>
  </si>
  <si>
    <t>022M</t>
  </si>
  <si>
    <t xml:space="preserve">CHISTHIAN PINEDA </t>
  </si>
  <si>
    <t xml:space="preserve">ASHLEY PINEDA LOPEZ </t>
  </si>
  <si>
    <t>419M</t>
  </si>
  <si>
    <t xml:space="preserve">ELIZA MARTINEZ </t>
  </si>
  <si>
    <t xml:space="preserve">AURA MARTINEZ </t>
  </si>
  <si>
    <t xml:space="preserve">CLOTHES,SHOES,PRESERVE,ACCESORIES,COSMETICS,CONDIMENTS,RESPALDO P/CARRO </t>
  </si>
  <si>
    <t>905M</t>
  </si>
  <si>
    <t xml:space="preserve">CLAUDIA PERALTA </t>
  </si>
  <si>
    <t xml:space="preserve">CONY PERALTA </t>
  </si>
  <si>
    <t xml:space="preserve">BREAD,HONEY,CONDIMENTS </t>
  </si>
  <si>
    <t>425M</t>
  </si>
  <si>
    <t xml:space="preserve">JENI SALAZAR </t>
  </si>
  <si>
    <t xml:space="preserve">BREAD,PEANUTS,PRESERVE,CANDYS,NATURAL MEDICINE </t>
  </si>
  <si>
    <t>525M</t>
  </si>
  <si>
    <t xml:space="preserve">MILVIA SAGASTUME </t>
  </si>
  <si>
    <t xml:space="preserve">KEVIN LEMUS </t>
  </si>
  <si>
    <t xml:space="preserve">CLOTHES,SHOES,PRESERVE,ACCESORIES,NATURAL MEDICINE </t>
  </si>
  <si>
    <t>050M</t>
  </si>
  <si>
    <t xml:space="preserve">JOSE MORATAYA </t>
  </si>
  <si>
    <t xml:space="preserve">FABIOLA MARIN </t>
  </si>
  <si>
    <t xml:space="preserve">CARTERAS </t>
  </si>
  <si>
    <t>030M</t>
  </si>
  <si>
    <t xml:space="preserve">DAYANA POLANCO </t>
  </si>
  <si>
    <t xml:space="preserve">ANGIE RUIZ </t>
  </si>
  <si>
    <t xml:space="preserve">BREAD </t>
  </si>
  <si>
    <t>031M</t>
  </si>
  <si>
    <t>ALEJANDRO REYES</t>
  </si>
  <si>
    <t xml:space="preserve">ALBA REYES </t>
  </si>
  <si>
    <t>032M</t>
  </si>
  <si>
    <t xml:space="preserve">ALBERTO RODAS </t>
  </si>
  <si>
    <t xml:space="preserve">ALEX SANCHEZ </t>
  </si>
  <si>
    <t>033M</t>
  </si>
  <si>
    <t xml:space="preserve">ENRIQUE CORTES </t>
  </si>
  <si>
    <t xml:space="preserve">KARLA CORTES PEREZ </t>
  </si>
  <si>
    <t>034M</t>
  </si>
  <si>
    <t xml:space="preserve">CATALINA CRUZ </t>
  </si>
  <si>
    <t>035M</t>
  </si>
  <si>
    <t xml:space="preserve">FELIPE VILLEDA </t>
  </si>
  <si>
    <t xml:space="preserve">LINA GOMEZ </t>
  </si>
  <si>
    <t xml:space="preserve">BREAD,CHIPS </t>
  </si>
  <si>
    <t>036M</t>
  </si>
  <si>
    <t xml:space="preserve">IVONNE DIAZ </t>
  </si>
  <si>
    <t xml:space="preserve">PATRICIA MONROY </t>
  </si>
  <si>
    <t>037M</t>
  </si>
  <si>
    <t xml:space="preserve">TANIA ORTEGA </t>
  </si>
  <si>
    <t xml:space="preserve">PABLO GOMEZ </t>
  </si>
  <si>
    <t>038M</t>
  </si>
  <si>
    <t xml:space="preserve">JUAN PALACIOS </t>
  </si>
  <si>
    <t xml:space="preserve">LORENA PALACIOS </t>
  </si>
  <si>
    <t xml:space="preserve">PEANUTS </t>
  </si>
  <si>
    <t>039M</t>
  </si>
  <si>
    <t xml:space="preserve">VICTOR HERRERA </t>
  </si>
  <si>
    <t xml:space="preserve">AMANDA HERRERA </t>
  </si>
  <si>
    <t xml:space="preserve">PRESERVE </t>
  </si>
  <si>
    <t>98K</t>
  </si>
  <si>
    <t xml:space="preserve">MIGUEL DOMINGUEZ </t>
  </si>
  <si>
    <t xml:space="preserve">SUSETH DOMINGUEZ </t>
  </si>
  <si>
    <t>99K</t>
  </si>
  <si>
    <t xml:space="preserve">OSVALDO RODAS </t>
  </si>
  <si>
    <t xml:space="preserve">INGRID RODAS </t>
  </si>
  <si>
    <t>903K</t>
  </si>
  <si>
    <t xml:space="preserve">DOMINGO GARCIA </t>
  </si>
  <si>
    <t xml:space="preserve">MARTA JULIA GARCIA </t>
  </si>
  <si>
    <t xml:space="preserve">CLOTHES,CANDYS </t>
  </si>
  <si>
    <t>304K</t>
  </si>
  <si>
    <t xml:space="preserve">EDDIN PEREZ </t>
  </si>
  <si>
    <t xml:space="preserve">ANGELICA PEREZ </t>
  </si>
  <si>
    <t xml:space="preserve">PRESERVE,PEANUTS,CONDIMENTS,HONEY </t>
  </si>
  <si>
    <t>401K</t>
  </si>
  <si>
    <t xml:space="preserve">CRISTIAN GUZMAN </t>
  </si>
  <si>
    <t xml:space="preserve">SAUL GUZMAN </t>
  </si>
  <si>
    <t xml:space="preserve">CONDIMENTS,PRESERVE,BREAD,HONEY,CLOTHES </t>
  </si>
  <si>
    <t>121B</t>
  </si>
  <si>
    <t xml:space="preserve">ANGELES GOMEZ </t>
  </si>
  <si>
    <t xml:space="preserve">ROBERTO GOMEZ </t>
  </si>
  <si>
    <t>NORMA</t>
  </si>
  <si>
    <t xml:space="preserve">CLOTHES,BREAD,HONEY,CANDYS,CHIPS,COFFE </t>
  </si>
  <si>
    <t>1001A</t>
  </si>
  <si>
    <t xml:space="preserve">RENATO CASTAÑEDA </t>
  </si>
  <si>
    <t xml:space="preserve">INGRID CASTAÑEDA </t>
  </si>
  <si>
    <t>204M</t>
  </si>
  <si>
    <t xml:space="preserve">YULISA BORJA </t>
  </si>
  <si>
    <t xml:space="preserve">ANA BORJA </t>
  </si>
  <si>
    <t>406K</t>
  </si>
  <si>
    <t xml:space="preserve">RIGOBERTO CAPRIEL </t>
  </si>
  <si>
    <t xml:space="preserve">IRMA GUZMAN </t>
  </si>
  <si>
    <t xml:space="preserve">CLOTHES,SHOES,PRESERVE,CIGARRETTES,ACCESORIES </t>
  </si>
  <si>
    <t>302K</t>
  </si>
  <si>
    <t xml:space="preserve">FLORA MARINA DIAZ </t>
  </si>
  <si>
    <t xml:space="preserve">MARVIN ALFREDO LOPEZ </t>
  </si>
  <si>
    <t>SULI</t>
  </si>
  <si>
    <t xml:space="preserve">CLOTHES,DOCUMENTS,VITAMIN SUPPLEMENTS </t>
  </si>
  <si>
    <t>LILY</t>
  </si>
  <si>
    <t xml:space="preserve">CANDYS,CHIPS,SOUPSS </t>
  </si>
  <si>
    <t>055M</t>
  </si>
  <si>
    <t xml:space="preserve">EVA RAMOS </t>
  </si>
  <si>
    <t xml:space="preserve">JOSE RAMOS </t>
  </si>
  <si>
    <t xml:space="preserve">VITAMIN SUPPLEMENTS </t>
  </si>
  <si>
    <t>112M</t>
  </si>
  <si>
    <t xml:space="preserve">TEODORA GARCIA </t>
  </si>
  <si>
    <t xml:space="preserve">BELIZARIO DE LA CRUZ </t>
  </si>
  <si>
    <t xml:space="preserve">ESMERALDA </t>
  </si>
  <si>
    <t xml:space="preserve">ROPA,DOCUMENTOS,SUPLEMENTO VITAMINICO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</si>
</sst>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6" fillId="0" borderId="14" xfId="0" applyFont="1" applyFill="1" applyBorder="1" applyAlignment="1"/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wrapText="1"/>
    </xf>
  </cellXfs>
  <cellStyles count="2">
    <cellStyle name="Millares" xfId="1" builtinId="3"/>
    <cellStyle name="Normal" xfId="0" builtinId="0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64" zoomScaleNormal="64" workbookViewId="0"/>
  </sheetViews>
  <sheetFormatPr baseColWidth="10" defaultColWidth="11.42578125" defaultRowHeight="14.25" x14ac:dyDescent="0.2"/>
  <cols>
    <col min="1" max="1" width="11.7109375" style="27" customWidth="1"/>
    <col min="2" max="2" width="11.85546875" style="27" customWidth="1"/>
    <col min="3" max="3" width="22" style="27" customWidth="1"/>
    <col min="4" max="4" width="8.5703125" style="27" customWidth="1"/>
    <col min="5" max="5" width="19.85546875" style="27" customWidth="1"/>
    <col min="6" max="6" width="21.85546875" style="27" customWidth="1"/>
    <col min="7" max="7" width="55" style="27" customWidth="1"/>
    <col min="8" max="8" width="17" style="27" customWidth="1"/>
    <col min="9" max="9" width="9.85546875" style="27" customWidth="1"/>
    <col min="10" max="10" width="10.28515625" style="27" customWidth="1"/>
    <col min="11" max="16384" width="11.42578125" style="27"/>
  </cols>
  <sheetData>
    <row r="1" spans="1:26" ht="25.5" customHeight="1" x14ac:dyDescent="0.4">
      <c r="A1" s="24" t="s">
        <v>5</v>
      </c>
      <c r="B1" s="87" t="s">
        <v>678</v>
      </c>
      <c r="C1" s="87"/>
      <c r="D1" s="87"/>
      <c r="E1" s="87"/>
      <c r="F1" s="25"/>
      <c r="G1" s="26">
        <v>41</v>
      </c>
      <c r="J1" s="27" t="s">
        <v>14</v>
      </c>
    </row>
    <row r="2" spans="1:26" ht="17.25" customHeight="1" x14ac:dyDescent="0.25">
      <c r="A2" s="28" t="s">
        <v>6</v>
      </c>
      <c r="B2" s="88" t="str">
        <f>VLOOKUP(I3,'Base de Datos'!J2:L195,2,FALSE)</f>
        <v>8A. AVENIDA C 12-37 ZONA 1</v>
      </c>
      <c r="C2" s="88"/>
      <c r="D2" s="88"/>
      <c r="E2" s="88"/>
      <c r="F2" s="95" t="str">
        <f>VLOOKUP(I3,'Base de Datos'!J2:L195,3,FALSE)</f>
        <v>CHIQUIMULA - GUATEMALA</v>
      </c>
      <c r="G2" s="96"/>
      <c r="I2" s="29" t="s">
        <v>2</v>
      </c>
      <c r="J2" s="29" t="s">
        <v>112</v>
      </c>
      <c r="K2" s="30"/>
      <c r="L2" s="31"/>
      <c r="M2" s="32"/>
      <c r="N2" s="32"/>
    </row>
    <row r="3" spans="1:26" ht="18" x14ac:dyDescent="0.25">
      <c r="A3" s="28" t="s">
        <v>8</v>
      </c>
      <c r="B3" s="102" t="s">
        <v>679</v>
      </c>
      <c r="C3" s="102"/>
      <c r="D3" s="102"/>
      <c r="E3" s="102"/>
      <c r="F3" s="33"/>
      <c r="G3" s="34"/>
      <c r="I3" s="35">
        <v>37</v>
      </c>
      <c r="J3" s="35">
        <v>69</v>
      </c>
      <c r="K3" s="30"/>
      <c r="L3" s="36"/>
      <c r="M3" s="32"/>
      <c r="N3" s="32"/>
      <c r="X3" s="27">
        <v>3</v>
      </c>
    </row>
    <row r="4" spans="1:26" ht="18" x14ac:dyDescent="0.25">
      <c r="A4" s="37" t="s">
        <v>6</v>
      </c>
      <c r="B4" s="94" t="str">
        <f>VLOOKUP(J3,'Base de Datos'!A2:F95,2,FALSE)</f>
        <v>966 AVENUE OT</v>
      </c>
      <c r="C4" s="94"/>
      <c r="D4" s="94" t="str">
        <f>VLOOKUP(J3,'Base de Datos'!A2:F95,3,FALSE)</f>
        <v>NEW YORK</v>
      </c>
      <c r="E4" s="94"/>
      <c r="F4" s="38" t="str">
        <f>VLOOKUP(J3,'Base de Datos'!A2:F95,4,FALSE)</f>
        <v>NY</v>
      </c>
      <c r="G4" s="39">
        <f>VLOOKUP(J3,'Base de Datos'!A2:F95,5,FALSE)</f>
        <v>10001</v>
      </c>
      <c r="L4" s="32"/>
      <c r="M4" s="32"/>
      <c r="N4" s="32"/>
    </row>
    <row r="5" spans="1:26" ht="20.25" customHeight="1" x14ac:dyDescent="0.25">
      <c r="A5" s="37" t="s">
        <v>9</v>
      </c>
      <c r="B5" s="98">
        <v>2024097639</v>
      </c>
      <c r="C5" s="98"/>
      <c r="D5" s="95"/>
      <c r="E5" s="95"/>
      <c r="F5" s="40" t="s">
        <v>4</v>
      </c>
      <c r="G5" s="41">
        <f ca="1">TODAY()</f>
        <v>45007</v>
      </c>
      <c r="L5" s="32"/>
      <c r="M5" s="32"/>
      <c r="N5" s="32"/>
      <c r="Z5" s="42"/>
    </row>
    <row r="6" spans="1:26" ht="8.25" customHeight="1" x14ac:dyDescent="0.2">
      <c r="A6" s="37"/>
      <c r="B6" s="43"/>
      <c r="C6" s="43"/>
      <c r="D6" s="43"/>
      <c r="E6" s="43"/>
      <c r="F6" s="43"/>
      <c r="G6" s="44"/>
    </row>
    <row r="7" spans="1:26" ht="16.5" customHeight="1" x14ac:dyDescent="0.25">
      <c r="A7" s="92" t="s">
        <v>0</v>
      </c>
      <c r="B7" s="93"/>
      <c r="C7" s="93" t="s">
        <v>1</v>
      </c>
      <c r="D7" s="93"/>
      <c r="E7" s="93"/>
      <c r="F7" s="45" t="s">
        <v>10</v>
      </c>
      <c r="G7" s="46" t="s">
        <v>11</v>
      </c>
      <c r="J7" s="47"/>
      <c r="K7" s="47"/>
      <c r="L7" s="47"/>
    </row>
    <row r="8" spans="1:26" ht="15" customHeight="1" x14ac:dyDescent="0.2">
      <c r="A8" s="107" t="s">
        <v>23</v>
      </c>
      <c r="B8" s="108"/>
      <c r="C8" s="113" t="s">
        <v>681</v>
      </c>
      <c r="D8" s="114"/>
      <c r="E8" s="115"/>
      <c r="F8" s="104">
        <v>50</v>
      </c>
      <c r="G8" s="100" t="s">
        <v>677</v>
      </c>
      <c r="J8" s="47"/>
      <c r="K8" s="47"/>
      <c r="L8" s="47"/>
    </row>
    <row r="9" spans="1:26" ht="15" customHeight="1" x14ac:dyDescent="0.25">
      <c r="A9" s="109"/>
      <c r="B9" s="110"/>
      <c r="C9" s="116"/>
      <c r="D9" s="117"/>
      <c r="E9" s="118"/>
      <c r="F9" s="105"/>
      <c r="G9" s="101"/>
      <c r="I9" s="48"/>
      <c r="J9" s="47"/>
      <c r="K9" s="47"/>
      <c r="L9" s="47"/>
    </row>
    <row r="10" spans="1:26" ht="15" customHeight="1" x14ac:dyDescent="0.2">
      <c r="A10" s="109"/>
      <c r="B10" s="110"/>
      <c r="C10" s="116"/>
      <c r="D10" s="117"/>
      <c r="E10" s="118"/>
      <c r="F10" s="105"/>
      <c r="G10" s="101"/>
      <c r="I10" s="49"/>
      <c r="J10" s="47"/>
      <c r="K10" s="47"/>
      <c r="L10" s="47"/>
    </row>
    <row r="11" spans="1:26" ht="15" customHeight="1" x14ac:dyDescent="0.2">
      <c r="A11" s="109"/>
      <c r="B11" s="110"/>
      <c r="C11" s="116"/>
      <c r="D11" s="117"/>
      <c r="E11" s="118"/>
      <c r="F11" s="105"/>
      <c r="G11" s="101"/>
    </row>
    <row r="12" spans="1:26" ht="27" customHeight="1" x14ac:dyDescent="0.2">
      <c r="A12" s="109"/>
      <c r="B12" s="110"/>
      <c r="C12" s="116"/>
      <c r="D12" s="117"/>
      <c r="E12" s="118"/>
      <c r="F12" s="105" t="s">
        <v>13</v>
      </c>
      <c r="G12" s="101"/>
    </row>
    <row r="13" spans="1:26" ht="25.5" customHeight="1" x14ac:dyDescent="0.35">
      <c r="A13" s="111"/>
      <c r="B13" s="112"/>
      <c r="C13" s="119"/>
      <c r="D13" s="120"/>
      <c r="E13" s="121"/>
      <c r="F13" s="106"/>
      <c r="G13" s="50" t="s">
        <v>406</v>
      </c>
    </row>
    <row r="14" spans="1:26" ht="4.5" customHeight="1" x14ac:dyDescent="0.2">
      <c r="A14" s="51"/>
      <c r="B14" s="52"/>
      <c r="C14" s="52"/>
      <c r="D14" s="52"/>
      <c r="E14" s="52"/>
      <c r="F14" s="52"/>
      <c r="G14" s="53"/>
    </row>
    <row r="15" spans="1:26" ht="18" x14ac:dyDescent="0.25">
      <c r="A15" s="89" t="s">
        <v>3</v>
      </c>
      <c r="B15" s="90"/>
      <c r="C15" s="91" t="s">
        <v>680</v>
      </c>
      <c r="D15" s="91"/>
      <c r="E15" s="91"/>
      <c r="F15" s="54" t="s">
        <v>7</v>
      </c>
      <c r="G15" s="55" t="str">
        <f>F2</f>
        <v>CHIQUIMULA - GUATEMALA</v>
      </c>
      <c r="H15" s="49"/>
      <c r="I15" s="49"/>
    </row>
    <row r="16" spans="1:26" ht="9" customHeight="1" thickBot="1" x14ac:dyDescent="0.25">
      <c r="A16" s="56"/>
      <c r="B16" s="57"/>
      <c r="C16" s="57"/>
      <c r="D16" s="57"/>
      <c r="E16" s="57"/>
      <c r="F16" s="57"/>
      <c r="G16" s="58"/>
      <c r="H16" s="49"/>
    </row>
    <row r="17" spans="1:14" ht="20.25" customHeight="1" x14ac:dyDescent="0.2">
      <c r="A17" s="103" t="s">
        <v>12</v>
      </c>
      <c r="B17" s="103"/>
      <c r="C17" s="103"/>
      <c r="D17" s="103"/>
      <c r="E17" s="103"/>
      <c r="F17" s="103"/>
      <c r="G17" s="103"/>
      <c r="H17" s="49"/>
      <c r="J17" s="99" t="s">
        <v>407</v>
      </c>
      <c r="K17" s="99"/>
      <c r="L17" s="99"/>
      <c r="M17" s="99"/>
      <c r="N17" s="32"/>
    </row>
    <row r="18" spans="1:14" ht="11.25" customHeight="1" x14ac:dyDescent="0.2">
      <c r="A18" s="54"/>
      <c r="B18" s="54"/>
      <c r="C18" s="54"/>
      <c r="D18" s="54"/>
      <c r="E18" s="54"/>
      <c r="F18" s="54"/>
      <c r="G18" s="54"/>
      <c r="J18" s="99"/>
      <c r="K18" s="99"/>
      <c r="L18" s="99"/>
      <c r="M18" s="99"/>
      <c r="N18" s="32"/>
    </row>
    <row r="19" spans="1:14" ht="21.75" customHeight="1" x14ac:dyDescent="0.2">
      <c r="A19" s="59"/>
      <c r="B19" s="59"/>
      <c r="C19" s="59"/>
      <c r="D19" s="59"/>
      <c r="E19" s="59"/>
      <c r="F19" s="59"/>
      <c r="G19" s="59"/>
      <c r="J19" s="99"/>
      <c r="K19" s="99"/>
      <c r="L19" s="99"/>
      <c r="M19" s="99"/>
      <c r="N19" s="32"/>
    </row>
    <row r="20" spans="1:14" ht="15.75" customHeight="1" x14ac:dyDescent="0.2">
      <c r="A20" s="59"/>
      <c r="B20" s="59"/>
      <c r="C20" s="59"/>
      <c r="D20" s="59"/>
      <c r="E20" s="59"/>
      <c r="F20" s="59"/>
      <c r="G20" s="59"/>
    </row>
    <row r="21" spans="1:14" ht="18.75" customHeight="1" x14ac:dyDescent="0.2">
      <c r="A21" s="59"/>
      <c r="B21" s="59"/>
      <c r="C21" s="59"/>
      <c r="D21" s="59"/>
      <c r="E21" s="59" t="s">
        <v>318</v>
      </c>
      <c r="F21" s="59"/>
      <c r="G21" s="59"/>
      <c r="J21" s="97"/>
      <c r="K21" s="97"/>
      <c r="L21" s="97"/>
    </row>
    <row r="22" spans="1:14" ht="15.75" customHeight="1" x14ac:dyDescent="0.2">
      <c r="A22" s="59"/>
      <c r="B22" s="59"/>
      <c r="C22" s="59"/>
      <c r="D22" s="59"/>
      <c r="E22" s="59"/>
      <c r="F22" s="59"/>
      <c r="G22" s="59"/>
      <c r="J22" s="97"/>
      <c r="K22" s="97"/>
      <c r="L22" s="97"/>
    </row>
    <row r="23" spans="1:14" ht="21.75" customHeight="1" x14ac:dyDescent="0.2">
      <c r="A23" s="59"/>
      <c r="B23" s="59"/>
      <c r="C23" s="59"/>
      <c r="D23" s="59"/>
      <c r="E23" s="59"/>
      <c r="F23" s="59"/>
      <c r="G23" s="59"/>
      <c r="J23" s="97"/>
      <c r="K23" s="97"/>
      <c r="L23" s="97"/>
    </row>
    <row r="24" spans="1:14" x14ac:dyDescent="0.2">
      <c r="A24" s="59"/>
      <c r="B24" s="59"/>
      <c r="C24" s="59"/>
      <c r="D24" s="59"/>
      <c r="E24" s="59"/>
      <c r="F24" s="59"/>
      <c r="G24" s="59"/>
    </row>
    <row r="25" spans="1:14" ht="16.5" customHeight="1" x14ac:dyDescent="0.2">
      <c r="A25" s="59"/>
      <c r="B25" s="59"/>
      <c r="C25" s="59"/>
      <c r="D25" s="59"/>
      <c r="E25" s="59"/>
      <c r="F25" s="59"/>
      <c r="G25" s="59"/>
    </row>
    <row r="26" spans="1:14" ht="32.25" customHeight="1" x14ac:dyDescent="0.4">
      <c r="A26" s="59"/>
      <c r="B26" s="59"/>
      <c r="C26" s="59"/>
      <c r="D26" s="59"/>
      <c r="E26" s="59"/>
      <c r="F26" s="59"/>
      <c r="G26" s="59"/>
      <c r="I26" s="82" t="s">
        <v>321</v>
      </c>
      <c r="J26" s="83"/>
      <c r="K26" s="83"/>
      <c r="L26" s="84"/>
      <c r="M26" s="32"/>
      <c r="N26" s="32"/>
    </row>
    <row r="27" spans="1:14" ht="43.5" customHeight="1" x14ac:dyDescent="0.4">
      <c r="A27" s="59"/>
      <c r="B27" s="59"/>
      <c r="C27" s="59"/>
      <c r="D27" s="59"/>
      <c r="E27" s="59"/>
      <c r="F27" s="59"/>
      <c r="G27" s="59"/>
      <c r="I27" s="85">
        <f>SUM(Manifiesto!E3:E1048576)</f>
        <v>1171.6300000000001</v>
      </c>
      <c r="J27" s="85"/>
      <c r="K27" s="85"/>
      <c r="L27" s="85"/>
      <c r="M27" s="32"/>
      <c r="N27" s="32"/>
    </row>
    <row r="28" spans="1:14" ht="15" customHeight="1" x14ac:dyDescent="0.2">
      <c r="A28" s="59"/>
      <c r="B28" s="59"/>
      <c r="C28" s="59"/>
      <c r="D28" s="59"/>
      <c r="E28" s="59"/>
      <c r="F28" s="59"/>
      <c r="G28" s="59"/>
      <c r="J28" s="32"/>
      <c r="K28" s="32"/>
      <c r="L28" s="32"/>
      <c r="M28" s="32"/>
      <c r="N28" s="32"/>
    </row>
    <row r="29" spans="1:14" ht="18.75" customHeight="1" x14ac:dyDescent="0.2">
      <c r="A29" s="59"/>
      <c r="B29" s="59"/>
      <c r="C29" s="59"/>
      <c r="D29" s="59"/>
      <c r="E29" s="59"/>
      <c r="F29" s="59"/>
      <c r="G29" s="59"/>
    </row>
    <row r="30" spans="1:14" ht="15" customHeight="1" x14ac:dyDescent="0.2">
      <c r="A30" s="59"/>
      <c r="B30" s="59"/>
      <c r="C30" s="59"/>
      <c r="D30" s="59"/>
      <c r="E30" s="59"/>
      <c r="F30" s="59"/>
      <c r="G30" s="59"/>
    </row>
    <row r="31" spans="1:14" ht="34.5" customHeight="1" x14ac:dyDescent="0.2">
      <c r="A31" s="59"/>
      <c r="B31" s="59"/>
      <c r="C31" s="59"/>
      <c r="D31" s="59"/>
      <c r="E31" s="59"/>
      <c r="F31" s="59"/>
      <c r="G31" s="59"/>
    </row>
    <row r="32" spans="1:14" ht="6" customHeight="1" x14ac:dyDescent="0.2">
      <c r="A32" s="59"/>
      <c r="B32" s="59"/>
      <c r="C32" s="59"/>
      <c r="D32" s="59"/>
      <c r="E32" s="59"/>
      <c r="F32" s="59"/>
      <c r="G32" s="59"/>
    </row>
    <row r="33" spans="1:7" ht="18.75" customHeight="1" x14ac:dyDescent="0.2">
      <c r="A33" s="59"/>
      <c r="B33" s="59"/>
      <c r="C33" s="59"/>
      <c r="D33" s="59"/>
      <c r="E33" s="59"/>
      <c r="F33" s="59"/>
      <c r="G33" s="59"/>
    </row>
    <row r="34" spans="1:7" x14ac:dyDescent="0.2">
      <c r="A34" s="49"/>
      <c r="B34" s="49"/>
      <c r="C34" s="49"/>
      <c r="D34" s="49"/>
      <c r="E34" s="49"/>
      <c r="F34" s="49"/>
      <c r="G34" s="49"/>
    </row>
    <row r="35" spans="1:7" x14ac:dyDescent="0.2">
      <c r="A35" s="86"/>
      <c r="B35" s="86"/>
      <c r="C35" s="86"/>
      <c r="D35" s="86"/>
      <c r="E35" s="86"/>
      <c r="F35" s="86"/>
      <c r="G35" s="86"/>
    </row>
    <row r="36" spans="1:7" ht="9" customHeight="1" x14ac:dyDescent="0.2">
      <c r="A36" s="49"/>
      <c r="B36" s="49"/>
      <c r="C36" s="49"/>
      <c r="D36" s="49"/>
      <c r="E36" s="49"/>
      <c r="F36" s="49"/>
      <c r="G36" s="49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F116" zoomScaleNormal="100" workbookViewId="0">
      <selection activeCell="F138" sqref="F138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7082318585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8226933945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3885751292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9743315396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6200364973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9668400798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2430963245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5137764234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7476608571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7309659389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7831256553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3215109060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5733902971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8379078900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7732493011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1483144078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1" t="s">
        <v>427</v>
      </c>
      <c r="F91" s="2">
        <f t="shared" ca="1" si="2"/>
        <v>1902439224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5903082187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4370817101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5133628473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1" t="s">
        <v>428</v>
      </c>
      <c r="F95" s="2">
        <f t="shared" ca="1" si="2"/>
        <v>4574319687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5" priority="420"/>
    <cfRule type="duplicateValues" dxfId="24" priority="421"/>
    <cfRule type="cellIs" dxfId="23" priority="422" operator="equal">
      <formula>5773500711</formula>
    </cfRule>
    <cfRule type="cellIs" dxfId="22" priority="423" operator="equal">
      <formula>2710639176</formula>
    </cfRule>
  </conditionalFormatting>
  <conditionalFormatting sqref="F1:F74 F96:F1048576">
    <cfRule type="duplicateValues" dxfId="21" priority="6"/>
  </conditionalFormatting>
  <conditionalFormatting sqref="F75:F95">
    <cfRule type="duplicateValues" dxfId="20" priority="2"/>
    <cfRule type="duplicateValues" dxfId="19" priority="3"/>
    <cfRule type="cellIs" dxfId="18" priority="4" operator="equal">
      <formula>5773500711</formula>
    </cfRule>
    <cfRule type="cellIs" dxfId="17" priority="5" operator="equal">
      <formula>2710639176</formula>
    </cfRule>
  </conditionalFormatting>
  <conditionalFormatting sqref="F75:F95">
    <cfRule type="duplicateValues" dxfId="16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3"/>
  <sheetViews>
    <sheetView tabSelected="1" topLeftCell="N1" zoomScale="106" zoomScaleNormal="106" workbookViewId="0">
      <selection activeCell="T6" sqref="T6"/>
    </sheetView>
  </sheetViews>
  <sheetFormatPr baseColWidth="10" defaultRowHeight="14.25" x14ac:dyDescent="0.2"/>
  <cols>
    <col min="1" max="1" width="11.7109375" style="64" customWidth="1"/>
    <col min="2" max="2" width="10.5703125" style="64" customWidth="1"/>
    <col min="3" max="3" width="9.42578125" style="64" customWidth="1"/>
    <col min="4" max="5" width="11.42578125" style="64" customWidth="1"/>
    <col min="6" max="6" width="37.5703125" style="64" customWidth="1"/>
    <col min="7" max="7" width="51.42578125" style="64" customWidth="1"/>
    <col min="8" max="8" width="38.7109375" style="64" bestFit="1" customWidth="1"/>
    <col min="9" max="9" width="15.85546875" style="64" customWidth="1"/>
    <col min="10" max="10" width="11.42578125" style="64" customWidth="1"/>
    <col min="11" max="11" width="15.85546875" style="64" customWidth="1"/>
    <col min="12" max="12" width="40" style="64" customWidth="1"/>
    <col min="13" max="13" width="36.5703125" style="64" customWidth="1"/>
    <col min="14" max="14" width="22.85546875" style="64" customWidth="1"/>
    <col min="15" max="15" width="19.5703125" style="64" customWidth="1"/>
    <col min="16" max="16" width="11.42578125" style="64" customWidth="1"/>
    <col min="17" max="17" width="20.140625" style="64" customWidth="1"/>
    <col min="18" max="18" width="70.42578125" style="64" customWidth="1"/>
    <col min="19" max="19" width="5.85546875" style="79" customWidth="1"/>
    <col min="20" max="23" width="11.42578125" style="64"/>
    <col min="24" max="24" width="11.7109375" style="64" customWidth="1"/>
    <col min="25" max="16384" width="11.42578125" style="64"/>
  </cols>
  <sheetData>
    <row r="1" spans="1:28" x14ac:dyDescent="0.2">
      <c r="A1" s="122" t="s">
        <v>316</v>
      </c>
      <c r="B1" s="122"/>
      <c r="C1" s="122"/>
      <c r="D1" s="122"/>
      <c r="E1" s="122"/>
      <c r="F1" s="80" t="s">
        <v>429</v>
      </c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3"/>
    </row>
    <row r="2" spans="1:28" ht="21.75" customHeight="1" x14ac:dyDescent="0.2">
      <c r="A2" s="65" t="s">
        <v>105</v>
      </c>
      <c r="B2" s="65" t="s">
        <v>319</v>
      </c>
      <c r="C2" s="65" t="s">
        <v>106</v>
      </c>
      <c r="D2" s="65" t="s">
        <v>320</v>
      </c>
      <c r="E2" s="65" t="s">
        <v>10</v>
      </c>
      <c r="F2" s="66" t="s">
        <v>322</v>
      </c>
      <c r="G2" s="67" t="s">
        <v>323</v>
      </c>
      <c r="H2" s="67" t="s">
        <v>324</v>
      </c>
      <c r="I2" s="66" t="s">
        <v>107</v>
      </c>
      <c r="J2" s="66" t="s">
        <v>108</v>
      </c>
      <c r="K2" s="68" t="s">
        <v>109</v>
      </c>
      <c r="L2" s="69" t="s">
        <v>325</v>
      </c>
      <c r="M2" s="69" t="s">
        <v>326</v>
      </c>
      <c r="N2" s="69" t="s">
        <v>327</v>
      </c>
      <c r="O2" s="69" t="s">
        <v>328</v>
      </c>
      <c r="P2" s="69" t="s">
        <v>108</v>
      </c>
      <c r="Q2" s="69" t="s">
        <v>109</v>
      </c>
      <c r="R2" s="70" t="s">
        <v>110</v>
      </c>
      <c r="S2" s="71" t="s">
        <v>111</v>
      </c>
      <c r="W2" s="72"/>
      <c r="X2" s="73" t="s">
        <v>317</v>
      </c>
      <c r="AB2" s="74"/>
    </row>
    <row r="3" spans="1:28" ht="15.75" customHeight="1" x14ac:dyDescent="0.2">
      <c r="A3" s="123" t="s">
        <v>430</v>
      </c>
      <c r="B3" s="123" t="s">
        <v>435</v>
      </c>
      <c r="C3" s="123" t="s">
        <v>436</v>
      </c>
      <c r="D3" s="123">
        <v>1</v>
      </c>
      <c r="E3" s="124">
        <v>34.020000000000003</v>
      </c>
      <c r="F3" s="123" t="s">
        <v>431</v>
      </c>
      <c r="G3" s="123" t="s">
        <v>179</v>
      </c>
      <c r="H3" s="123" t="s">
        <v>113</v>
      </c>
      <c r="I3" s="123" t="s">
        <v>439</v>
      </c>
      <c r="J3" s="123" t="s">
        <v>439</v>
      </c>
      <c r="K3" s="123"/>
      <c r="L3" s="123" t="s">
        <v>432</v>
      </c>
      <c r="M3" s="123" t="s">
        <v>21</v>
      </c>
      <c r="N3" s="123" t="s">
        <v>22</v>
      </c>
      <c r="O3" s="123" t="s">
        <v>18</v>
      </c>
      <c r="P3" s="123" t="s">
        <v>443</v>
      </c>
      <c r="Q3" s="123">
        <v>10080</v>
      </c>
      <c r="R3" s="123" t="s">
        <v>450</v>
      </c>
      <c r="S3" s="123">
        <v>1</v>
      </c>
      <c r="T3" s="75"/>
      <c r="U3" s="75"/>
      <c r="W3" s="76"/>
      <c r="X3" s="62">
        <v>63</v>
      </c>
    </row>
    <row r="4" spans="1:28" ht="15.75" customHeight="1" x14ac:dyDescent="0.2">
      <c r="A4" s="123" t="s">
        <v>451</v>
      </c>
      <c r="B4" s="123" t="s">
        <v>435</v>
      </c>
      <c r="C4" s="123" t="s">
        <v>436</v>
      </c>
      <c r="D4" s="123">
        <v>1</v>
      </c>
      <c r="E4" s="124">
        <v>20.41</v>
      </c>
      <c r="F4" s="123" t="s">
        <v>452</v>
      </c>
      <c r="G4" s="123" t="s">
        <v>180</v>
      </c>
      <c r="H4" s="123" t="s">
        <v>113</v>
      </c>
      <c r="I4" s="123" t="s">
        <v>439</v>
      </c>
      <c r="J4" s="123" t="s">
        <v>439</v>
      </c>
      <c r="K4" s="123"/>
      <c r="L4" s="123" t="s">
        <v>453</v>
      </c>
      <c r="M4" s="123" t="s">
        <v>25</v>
      </c>
      <c r="N4" s="123" t="s">
        <v>26</v>
      </c>
      <c r="O4" s="123" t="s">
        <v>18</v>
      </c>
      <c r="P4" s="123" t="s">
        <v>443</v>
      </c>
      <c r="Q4" s="123">
        <v>10549</v>
      </c>
      <c r="R4" s="123" t="s">
        <v>455</v>
      </c>
      <c r="S4" s="123">
        <v>2</v>
      </c>
    </row>
    <row r="5" spans="1:28" ht="13.5" customHeight="1" x14ac:dyDescent="0.2">
      <c r="A5" s="123" t="s">
        <v>456</v>
      </c>
      <c r="B5" s="123" t="s">
        <v>435</v>
      </c>
      <c r="C5" s="123" t="s">
        <v>436</v>
      </c>
      <c r="D5" s="123">
        <v>1</v>
      </c>
      <c r="E5" s="124">
        <v>22.68</v>
      </c>
      <c r="F5" s="123" t="s">
        <v>457</v>
      </c>
      <c r="G5" s="123" t="s">
        <v>181</v>
      </c>
      <c r="H5" s="123" t="s">
        <v>113</v>
      </c>
      <c r="I5" s="123" t="s">
        <v>439</v>
      </c>
      <c r="J5" s="123" t="s">
        <v>439</v>
      </c>
      <c r="K5" s="123"/>
      <c r="L5" s="123" t="s">
        <v>458</v>
      </c>
      <c r="M5" s="123" t="s">
        <v>27</v>
      </c>
      <c r="N5" s="123" t="s">
        <v>28</v>
      </c>
      <c r="O5" s="123" t="s">
        <v>18</v>
      </c>
      <c r="P5" s="123" t="s">
        <v>443</v>
      </c>
      <c r="Q5" s="123">
        <v>10549</v>
      </c>
      <c r="R5" s="123" t="s">
        <v>460</v>
      </c>
      <c r="S5" s="123">
        <v>2</v>
      </c>
    </row>
    <row r="6" spans="1:28" x14ac:dyDescent="0.2">
      <c r="A6" s="62" t="s">
        <v>461</v>
      </c>
      <c r="B6" s="62" t="s">
        <v>435</v>
      </c>
      <c r="C6" s="62" t="s">
        <v>436</v>
      </c>
      <c r="D6" s="63">
        <v>1</v>
      </c>
      <c r="E6" s="63">
        <v>20.41</v>
      </c>
      <c r="F6" s="62" t="s">
        <v>462</v>
      </c>
      <c r="G6" s="62" t="s">
        <v>212</v>
      </c>
      <c r="H6" s="62" t="s">
        <v>272</v>
      </c>
      <c r="I6" s="62" t="s">
        <v>439</v>
      </c>
      <c r="J6" s="62" t="s">
        <v>439</v>
      </c>
      <c r="K6" s="62"/>
      <c r="L6" s="62" t="s">
        <v>463</v>
      </c>
      <c r="M6" s="62" t="s">
        <v>29</v>
      </c>
      <c r="N6" s="62" t="s">
        <v>28</v>
      </c>
      <c r="O6" s="62" t="s">
        <v>18</v>
      </c>
      <c r="P6" s="62" t="s">
        <v>443</v>
      </c>
      <c r="Q6" s="63">
        <v>10549</v>
      </c>
      <c r="R6" s="62" t="s">
        <v>455</v>
      </c>
      <c r="S6" s="123">
        <v>3</v>
      </c>
    </row>
    <row r="7" spans="1:28" x14ac:dyDescent="0.2">
      <c r="A7" s="62" t="s">
        <v>464</v>
      </c>
      <c r="B7" s="62" t="s">
        <v>435</v>
      </c>
      <c r="C7" s="62" t="s">
        <v>436</v>
      </c>
      <c r="D7" s="63">
        <v>1</v>
      </c>
      <c r="E7" s="63">
        <v>20.41</v>
      </c>
      <c r="F7" s="62" t="s">
        <v>465</v>
      </c>
      <c r="G7" s="62" t="s">
        <v>213</v>
      </c>
      <c r="H7" s="62" t="s">
        <v>272</v>
      </c>
      <c r="I7" s="62" t="s">
        <v>439</v>
      </c>
      <c r="J7" s="62" t="s">
        <v>439</v>
      </c>
      <c r="K7" s="62"/>
      <c r="L7" s="62" t="s">
        <v>466</v>
      </c>
      <c r="M7" s="62" t="s">
        <v>30</v>
      </c>
      <c r="N7" s="62" t="s">
        <v>28</v>
      </c>
      <c r="O7" s="62" t="s">
        <v>18</v>
      </c>
      <c r="P7" s="62" t="s">
        <v>443</v>
      </c>
      <c r="Q7" s="63">
        <v>10549</v>
      </c>
      <c r="R7" s="62" t="s">
        <v>468</v>
      </c>
      <c r="S7" s="123">
        <v>3</v>
      </c>
    </row>
    <row r="8" spans="1:28" x14ac:dyDescent="0.2">
      <c r="A8" s="62" t="s">
        <v>469</v>
      </c>
      <c r="B8" s="62" t="s">
        <v>435</v>
      </c>
      <c r="C8" s="62" t="s">
        <v>436</v>
      </c>
      <c r="D8" s="63">
        <v>1</v>
      </c>
      <c r="E8" s="63">
        <v>20.41</v>
      </c>
      <c r="F8" s="62" t="s">
        <v>470</v>
      </c>
      <c r="G8" s="62" t="s">
        <v>194</v>
      </c>
      <c r="H8" s="62" t="s">
        <v>271</v>
      </c>
      <c r="I8" s="62" t="s">
        <v>439</v>
      </c>
      <c r="J8" s="62" t="s">
        <v>439</v>
      </c>
      <c r="K8" s="62"/>
      <c r="L8" s="62" t="s">
        <v>471</v>
      </c>
      <c r="M8" s="62" t="s">
        <v>31</v>
      </c>
      <c r="N8" s="62" t="s">
        <v>28</v>
      </c>
      <c r="O8" s="62" t="s">
        <v>18</v>
      </c>
      <c r="P8" s="62" t="s">
        <v>443</v>
      </c>
      <c r="Q8" s="63">
        <v>10549</v>
      </c>
      <c r="R8" s="62" t="s">
        <v>473</v>
      </c>
      <c r="S8" s="123">
        <v>4</v>
      </c>
    </row>
    <row r="9" spans="1:28" x14ac:dyDescent="0.2">
      <c r="A9" s="62" t="s">
        <v>474</v>
      </c>
      <c r="B9" s="62" t="s">
        <v>435</v>
      </c>
      <c r="C9" s="62" t="s">
        <v>436</v>
      </c>
      <c r="D9" s="63">
        <v>1</v>
      </c>
      <c r="E9" s="63">
        <v>20.41</v>
      </c>
      <c r="F9" s="62" t="s">
        <v>475</v>
      </c>
      <c r="G9" s="62" t="s">
        <v>195</v>
      </c>
      <c r="H9" s="62" t="s">
        <v>271</v>
      </c>
      <c r="I9" s="62" t="s">
        <v>439</v>
      </c>
      <c r="J9" s="62" t="s">
        <v>439</v>
      </c>
      <c r="K9" s="62"/>
      <c r="L9" s="62" t="s">
        <v>476</v>
      </c>
      <c r="M9" s="62" t="s">
        <v>32</v>
      </c>
      <c r="N9" s="62" t="s">
        <v>28</v>
      </c>
      <c r="O9" s="62" t="s">
        <v>18</v>
      </c>
      <c r="P9" s="62" t="s">
        <v>443</v>
      </c>
      <c r="Q9" s="63">
        <v>10549</v>
      </c>
      <c r="R9" s="62" t="s">
        <v>477</v>
      </c>
      <c r="S9" s="123">
        <v>4</v>
      </c>
    </row>
    <row r="10" spans="1:28" x14ac:dyDescent="0.2">
      <c r="A10" s="62" t="s">
        <v>478</v>
      </c>
      <c r="B10" s="62" t="s">
        <v>435</v>
      </c>
      <c r="C10" s="62" t="s">
        <v>436</v>
      </c>
      <c r="D10" s="63">
        <v>1</v>
      </c>
      <c r="E10" s="63">
        <v>20.41</v>
      </c>
      <c r="F10" s="62" t="s">
        <v>479</v>
      </c>
      <c r="G10" s="62" t="s">
        <v>138</v>
      </c>
      <c r="H10" s="62" t="s">
        <v>270</v>
      </c>
      <c r="I10" s="62" t="s">
        <v>439</v>
      </c>
      <c r="J10" s="62" t="s">
        <v>439</v>
      </c>
      <c r="K10" s="62"/>
      <c r="L10" s="62" t="s">
        <v>480</v>
      </c>
      <c r="M10" s="62" t="s">
        <v>33</v>
      </c>
      <c r="N10" s="62" t="s">
        <v>28</v>
      </c>
      <c r="O10" s="62" t="s">
        <v>18</v>
      </c>
      <c r="P10" s="62" t="s">
        <v>443</v>
      </c>
      <c r="Q10" s="63">
        <v>10549</v>
      </c>
      <c r="R10" s="62" t="s">
        <v>482</v>
      </c>
      <c r="S10" s="123">
        <v>5</v>
      </c>
    </row>
    <row r="11" spans="1:28" x14ac:dyDescent="0.2">
      <c r="A11" s="62" t="s">
        <v>483</v>
      </c>
      <c r="B11" s="62" t="s">
        <v>435</v>
      </c>
      <c r="C11" s="62" t="s">
        <v>436</v>
      </c>
      <c r="D11" s="63">
        <v>1</v>
      </c>
      <c r="E11" s="63">
        <v>20.41</v>
      </c>
      <c r="F11" s="62" t="s">
        <v>484</v>
      </c>
      <c r="G11" s="62" t="s">
        <v>139</v>
      </c>
      <c r="H11" s="62" t="s">
        <v>270</v>
      </c>
      <c r="I11" s="62" t="s">
        <v>439</v>
      </c>
      <c r="J11" s="62" t="s">
        <v>439</v>
      </c>
      <c r="K11" s="62"/>
      <c r="L11" s="62" t="s">
        <v>485</v>
      </c>
      <c r="M11" s="62" t="s">
        <v>34</v>
      </c>
      <c r="N11" s="62" t="s">
        <v>28</v>
      </c>
      <c r="O11" s="62" t="s">
        <v>18</v>
      </c>
      <c r="P11" s="62" t="s">
        <v>443</v>
      </c>
      <c r="Q11" s="63">
        <v>10509</v>
      </c>
      <c r="R11" s="62" t="s">
        <v>487</v>
      </c>
      <c r="S11" s="123">
        <v>5</v>
      </c>
    </row>
    <row r="12" spans="1:28" x14ac:dyDescent="0.2">
      <c r="A12" s="62" t="s">
        <v>488</v>
      </c>
      <c r="B12" s="62" t="s">
        <v>435</v>
      </c>
      <c r="C12" s="62" t="s">
        <v>436</v>
      </c>
      <c r="D12" s="63">
        <v>1</v>
      </c>
      <c r="E12" s="63">
        <v>20.41</v>
      </c>
      <c r="F12" s="62" t="s">
        <v>489</v>
      </c>
      <c r="G12" s="62" t="s">
        <v>164</v>
      </c>
      <c r="H12" s="62" t="s">
        <v>163</v>
      </c>
      <c r="I12" s="62" t="s">
        <v>439</v>
      </c>
      <c r="J12" s="62" t="s">
        <v>439</v>
      </c>
      <c r="K12" s="62"/>
      <c r="L12" s="62" t="s">
        <v>490</v>
      </c>
      <c r="M12" s="62" t="s">
        <v>35</v>
      </c>
      <c r="N12" s="62" t="s">
        <v>26</v>
      </c>
      <c r="O12" s="62" t="s">
        <v>18</v>
      </c>
      <c r="P12" s="62" t="s">
        <v>443</v>
      </c>
      <c r="Q12" s="63">
        <v>10509</v>
      </c>
      <c r="R12" s="62" t="s">
        <v>455</v>
      </c>
      <c r="S12" s="123">
        <v>6</v>
      </c>
    </row>
    <row r="13" spans="1:28" x14ac:dyDescent="0.2">
      <c r="A13" s="62" t="s">
        <v>491</v>
      </c>
      <c r="B13" s="62" t="s">
        <v>435</v>
      </c>
      <c r="C13" s="62" t="s">
        <v>436</v>
      </c>
      <c r="D13" s="63">
        <v>1</v>
      </c>
      <c r="E13" s="63">
        <v>20.41</v>
      </c>
      <c r="F13" s="62" t="s">
        <v>492</v>
      </c>
      <c r="G13" s="62" t="s">
        <v>165</v>
      </c>
      <c r="H13" s="62" t="s">
        <v>163</v>
      </c>
      <c r="I13" s="62" t="s">
        <v>439</v>
      </c>
      <c r="J13" s="62" t="s">
        <v>439</v>
      </c>
      <c r="K13" s="62"/>
      <c r="L13" s="62" t="s">
        <v>493</v>
      </c>
      <c r="M13" s="62" t="s">
        <v>36</v>
      </c>
      <c r="N13" s="62" t="s">
        <v>37</v>
      </c>
      <c r="O13" s="62" t="s">
        <v>18</v>
      </c>
      <c r="P13" s="62" t="s">
        <v>443</v>
      </c>
      <c r="Q13" s="63">
        <v>10576</v>
      </c>
      <c r="R13" s="62" t="s">
        <v>455</v>
      </c>
      <c r="S13" s="123">
        <v>6</v>
      </c>
    </row>
    <row r="14" spans="1:28" x14ac:dyDescent="0.2">
      <c r="A14" s="62" t="s">
        <v>495</v>
      </c>
      <c r="B14" s="62" t="s">
        <v>435</v>
      </c>
      <c r="C14" s="62" t="s">
        <v>436</v>
      </c>
      <c r="D14" s="63">
        <v>1</v>
      </c>
      <c r="E14" s="63">
        <v>22.68</v>
      </c>
      <c r="F14" s="62" t="s">
        <v>496</v>
      </c>
      <c r="G14" s="62" t="s">
        <v>114</v>
      </c>
      <c r="H14" s="62" t="s">
        <v>269</v>
      </c>
      <c r="I14" s="62" t="s">
        <v>439</v>
      </c>
      <c r="J14" s="62" t="s">
        <v>439</v>
      </c>
      <c r="K14" s="62"/>
      <c r="L14" s="62" t="s">
        <v>497</v>
      </c>
      <c r="M14" s="62" t="s">
        <v>38</v>
      </c>
      <c r="N14" s="62" t="s">
        <v>39</v>
      </c>
      <c r="O14" s="62" t="s">
        <v>18</v>
      </c>
      <c r="P14" s="62" t="s">
        <v>443</v>
      </c>
      <c r="Q14" s="63">
        <v>10549</v>
      </c>
      <c r="R14" s="62" t="s">
        <v>498</v>
      </c>
      <c r="S14" s="123">
        <v>7</v>
      </c>
    </row>
    <row r="15" spans="1:28" x14ac:dyDescent="0.2">
      <c r="A15" s="62" t="s">
        <v>499</v>
      </c>
      <c r="B15" s="62" t="s">
        <v>435</v>
      </c>
      <c r="C15" s="62" t="s">
        <v>436</v>
      </c>
      <c r="D15" s="63">
        <v>1</v>
      </c>
      <c r="E15" s="63">
        <v>20.41</v>
      </c>
      <c r="F15" s="62" t="s">
        <v>500</v>
      </c>
      <c r="G15" s="62" t="s">
        <v>115</v>
      </c>
      <c r="H15" s="62" t="s">
        <v>269</v>
      </c>
      <c r="I15" s="62" t="s">
        <v>439</v>
      </c>
      <c r="J15" s="62" t="s">
        <v>439</v>
      </c>
      <c r="K15" s="62"/>
      <c r="L15" s="62" t="s">
        <v>501</v>
      </c>
      <c r="M15" s="62" t="s">
        <v>40</v>
      </c>
      <c r="N15" s="62" t="s">
        <v>39</v>
      </c>
      <c r="O15" s="62" t="s">
        <v>18</v>
      </c>
      <c r="P15" s="62" t="s">
        <v>443</v>
      </c>
      <c r="Q15" s="63">
        <v>10549</v>
      </c>
      <c r="R15" s="62" t="s">
        <v>502</v>
      </c>
      <c r="S15" s="123">
        <v>7</v>
      </c>
    </row>
    <row r="16" spans="1:28" x14ac:dyDescent="0.2">
      <c r="A16" s="62" t="s">
        <v>503</v>
      </c>
      <c r="B16" s="62" t="s">
        <v>435</v>
      </c>
      <c r="C16" s="62" t="s">
        <v>436</v>
      </c>
      <c r="D16" s="63">
        <v>1</v>
      </c>
      <c r="E16" s="63">
        <v>20.41</v>
      </c>
      <c r="F16" s="62" t="s">
        <v>504</v>
      </c>
      <c r="G16" s="62" t="s">
        <v>140</v>
      </c>
      <c r="H16" s="62" t="s">
        <v>270</v>
      </c>
      <c r="I16" s="62" t="s">
        <v>439</v>
      </c>
      <c r="J16" s="62" t="s">
        <v>439</v>
      </c>
      <c r="K16" s="62"/>
      <c r="L16" s="62" t="s">
        <v>505</v>
      </c>
      <c r="M16" s="62" t="s">
        <v>41</v>
      </c>
      <c r="N16" s="62" t="s">
        <v>39</v>
      </c>
      <c r="O16" s="62" t="s">
        <v>18</v>
      </c>
      <c r="P16" s="62" t="s">
        <v>443</v>
      </c>
      <c r="Q16" s="63">
        <v>10549</v>
      </c>
      <c r="R16" s="62" t="s">
        <v>455</v>
      </c>
      <c r="S16" s="123">
        <v>8</v>
      </c>
    </row>
    <row r="17" spans="1:19" x14ac:dyDescent="0.2">
      <c r="A17" s="62" t="s">
        <v>506</v>
      </c>
      <c r="B17" s="62" t="s">
        <v>435</v>
      </c>
      <c r="C17" s="62" t="s">
        <v>436</v>
      </c>
      <c r="D17" s="63">
        <v>1</v>
      </c>
      <c r="E17" s="63">
        <v>13.61</v>
      </c>
      <c r="F17" s="62" t="s">
        <v>507</v>
      </c>
      <c r="G17" s="62" t="s">
        <v>184</v>
      </c>
      <c r="H17" s="62" t="s">
        <v>113</v>
      </c>
      <c r="I17" s="62" t="s">
        <v>439</v>
      </c>
      <c r="J17" s="62" t="s">
        <v>439</v>
      </c>
      <c r="K17" s="62"/>
      <c r="L17" s="62" t="s">
        <v>508</v>
      </c>
      <c r="M17" s="62" t="s">
        <v>42</v>
      </c>
      <c r="N17" s="62" t="s">
        <v>28</v>
      </c>
      <c r="O17" s="62" t="s">
        <v>18</v>
      </c>
      <c r="P17" s="62" t="s">
        <v>443</v>
      </c>
      <c r="Q17" s="63">
        <v>10549</v>
      </c>
      <c r="R17" s="62" t="s">
        <v>450</v>
      </c>
      <c r="S17" s="123">
        <v>8</v>
      </c>
    </row>
    <row r="18" spans="1:19" x14ac:dyDescent="0.2">
      <c r="A18" s="62" t="s">
        <v>510</v>
      </c>
      <c r="B18" s="62" t="s">
        <v>435</v>
      </c>
      <c r="C18" s="62" t="s">
        <v>436</v>
      </c>
      <c r="D18" s="63">
        <v>1</v>
      </c>
      <c r="E18" s="63">
        <v>18.14</v>
      </c>
      <c r="F18" s="62" t="s">
        <v>511</v>
      </c>
      <c r="G18" s="62" t="s">
        <v>185</v>
      </c>
      <c r="H18" s="62" t="s">
        <v>113</v>
      </c>
      <c r="I18" s="62" t="s">
        <v>439</v>
      </c>
      <c r="J18" s="62" t="s">
        <v>439</v>
      </c>
      <c r="K18" s="62"/>
      <c r="L18" s="62" t="s">
        <v>512</v>
      </c>
      <c r="M18" s="62" t="s">
        <v>43</v>
      </c>
      <c r="N18" s="62" t="s">
        <v>28</v>
      </c>
      <c r="O18" s="62" t="s">
        <v>18</v>
      </c>
      <c r="P18" s="62" t="s">
        <v>443</v>
      </c>
      <c r="Q18" s="63">
        <v>10549</v>
      </c>
      <c r="R18" s="62" t="s">
        <v>450</v>
      </c>
      <c r="S18" s="123">
        <v>9</v>
      </c>
    </row>
    <row r="19" spans="1:19" x14ac:dyDescent="0.2">
      <c r="A19" s="62" t="s">
        <v>659</v>
      </c>
      <c r="B19" s="62" t="s">
        <v>435</v>
      </c>
      <c r="C19" s="62" t="s">
        <v>436</v>
      </c>
      <c r="D19" s="63">
        <v>1</v>
      </c>
      <c r="E19" s="63">
        <v>11.34</v>
      </c>
      <c r="F19" s="62" t="s">
        <v>660</v>
      </c>
      <c r="G19" s="62" t="s">
        <v>255</v>
      </c>
      <c r="H19" s="62" t="s">
        <v>274</v>
      </c>
      <c r="I19" s="62" t="s">
        <v>439</v>
      </c>
      <c r="J19" s="62" t="s">
        <v>439</v>
      </c>
      <c r="K19" s="62"/>
      <c r="L19" s="62" t="s">
        <v>661</v>
      </c>
      <c r="M19" s="62" t="s">
        <v>95</v>
      </c>
      <c r="N19" s="62" t="s">
        <v>28</v>
      </c>
      <c r="O19" s="62" t="s">
        <v>18</v>
      </c>
      <c r="P19" s="62" t="s">
        <v>443</v>
      </c>
      <c r="Q19" s="63">
        <v>10549</v>
      </c>
      <c r="R19" s="62" t="s">
        <v>487</v>
      </c>
      <c r="S19" s="63">
        <v>9</v>
      </c>
    </row>
    <row r="20" spans="1:19" x14ac:dyDescent="0.2">
      <c r="A20" s="62" t="s">
        <v>513</v>
      </c>
      <c r="B20" s="62" t="s">
        <v>435</v>
      </c>
      <c r="C20" s="62" t="s">
        <v>436</v>
      </c>
      <c r="D20" s="63">
        <v>1</v>
      </c>
      <c r="E20" s="63">
        <v>24.95</v>
      </c>
      <c r="F20" s="62" t="s">
        <v>514</v>
      </c>
      <c r="G20" s="62" t="s">
        <v>186</v>
      </c>
      <c r="H20" s="62" t="s">
        <v>113</v>
      </c>
      <c r="I20" s="62" t="s">
        <v>439</v>
      </c>
      <c r="J20" s="62" t="s">
        <v>439</v>
      </c>
      <c r="K20" s="62"/>
      <c r="L20" s="62" t="s">
        <v>515</v>
      </c>
      <c r="M20" s="62" t="s">
        <v>44</v>
      </c>
      <c r="N20" s="62" t="s">
        <v>28</v>
      </c>
      <c r="O20" s="62" t="s">
        <v>18</v>
      </c>
      <c r="P20" s="62" t="s">
        <v>443</v>
      </c>
      <c r="Q20" s="63">
        <v>10509</v>
      </c>
      <c r="R20" s="62" t="s">
        <v>516</v>
      </c>
      <c r="S20" s="123">
        <v>10</v>
      </c>
    </row>
    <row r="21" spans="1:19" x14ac:dyDescent="0.2">
      <c r="A21" s="62" t="s">
        <v>517</v>
      </c>
      <c r="B21" s="62" t="s">
        <v>435</v>
      </c>
      <c r="C21" s="62" t="s">
        <v>436</v>
      </c>
      <c r="D21" s="63">
        <v>1</v>
      </c>
      <c r="E21" s="63">
        <v>20.41</v>
      </c>
      <c r="F21" s="62" t="s">
        <v>518</v>
      </c>
      <c r="G21" s="62" t="s">
        <v>259</v>
      </c>
      <c r="H21" s="62" t="s">
        <v>275</v>
      </c>
      <c r="I21" s="62" t="s">
        <v>439</v>
      </c>
      <c r="J21" s="62" t="s">
        <v>439</v>
      </c>
      <c r="K21" s="62"/>
      <c r="L21" s="62" t="s">
        <v>519</v>
      </c>
      <c r="M21" s="62" t="s">
        <v>45</v>
      </c>
      <c r="N21" s="62" t="s">
        <v>28</v>
      </c>
      <c r="O21" s="62" t="s">
        <v>18</v>
      </c>
      <c r="P21" s="62" t="s">
        <v>443</v>
      </c>
      <c r="Q21" s="63">
        <v>10509</v>
      </c>
      <c r="R21" s="62" t="s">
        <v>502</v>
      </c>
      <c r="S21" s="123">
        <v>11</v>
      </c>
    </row>
    <row r="22" spans="1:19" x14ac:dyDescent="0.2">
      <c r="A22" s="62" t="s">
        <v>520</v>
      </c>
      <c r="B22" s="62" t="s">
        <v>435</v>
      </c>
      <c r="C22" s="62" t="s">
        <v>436</v>
      </c>
      <c r="D22" s="63">
        <v>1</v>
      </c>
      <c r="E22" s="63">
        <v>15.88</v>
      </c>
      <c r="F22" s="62" t="s">
        <v>521</v>
      </c>
      <c r="G22" s="62" t="s">
        <v>118</v>
      </c>
      <c r="H22" s="62" t="s">
        <v>269</v>
      </c>
      <c r="I22" s="62" t="s">
        <v>439</v>
      </c>
      <c r="J22" s="62" t="s">
        <v>439</v>
      </c>
      <c r="K22" s="62"/>
      <c r="L22" s="62" t="s">
        <v>522</v>
      </c>
      <c r="M22" s="62" t="s">
        <v>46</v>
      </c>
      <c r="N22" s="62" t="s">
        <v>28</v>
      </c>
      <c r="O22" s="62" t="s">
        <v>18</v>
      </c>
      <c r="P22" s="62" t="s">
        <v>443</v>
      </c>
      <c r="Q22" s="63">
        <v>10549</v>
      </c>
      <c r="R22" s="62" t="s">
        <v>450</v>
      </c>
      <c r="S22" s="123">
        <v>11</v>
      </c>
    </row>
    <row r="23" spans="1:19" x14ac:dyDescent="0.2">
      <c r="A23" s="62" t="s">
        <v>523</v>
      </c>
      <c r="B23" s="62" t="s">
        <v>435</v>
      </c>
      <c r="C23" s="62" t="s">
        <v>436</v>
      </c>
      <c r="D23" s="63">
        <v>1</v>
      </c>
      <c r="E23" s="63">
        <v>24.95</v>
      </c>
      <c r="F23" s="62" t="s">
        <v>525</v>
      </c>
      <c r="G23" s="62" t="s">
        <v>142</v>
      </c>
      <c r="H23" s="62" t="s">
        <v>270</v>
      </c>
      <c r="I23" s="62" t="s">
        <v>439</v>
      </c>
      <c r="J23" s="62" t="s">
        <v>439</v>
      </c>
      <c r="K23" s="62"/>
      <c r="L23" s="62" t="s">
        <v>524</v>
      </c>
      <c r="M23" s="62" t="s">
        <v>47</v>
      </c>
      <c r="N23" s="62" t="s">
        <v>28</v>
      </c>
      <c r="O23" s="62" t="s">
        <v>18</v>
      </c>
      <c r="P23" s="62" t="s">
        <v>443</v>
      </c>
      <c r="Q23" s="63">
        <v>10549</v>
      </c>
      <c r="R23" s="62" t="s">
        <v>526</v>
      </c>
      <c r="S23" s="123">
        <v>12</v>
      </c>
    </row>
    <row r="24" spans="1:19" x14ac:dyDescent="0.2">
      <c r="A24" s="62" t="s">
        <v>527</v>
      </c>
      <c r="B24" s="62" t="s">
        <v>435</v>
      </c>
      <c r="C24" s="62" t="s">
        <v>436</v>
      </c>
      <c r="D24" s="63">
        <v>1</v>
      </c>
      <c r="E24" s="63">
        <v>20.41</v>
      </c>
      <c r="F24" s="62" t="s">
        <v>528</v>
      </c>
      <c r="G24" s="62" t="s">
        <v>167</v>
      </c>
      <c r="H24" s="62" t="s">
        <v>163</v>
      </c>
      <c r="I24" s="62" t="s">
        <v>439</v>
      </c>
      <c r="J24" s="62" t="s">
        <v>439</v>
      </c>
      <c r="K24" s="62"/>
      <c r="L24" s="62" t="s">
        <v>529</v>
      </c>
      <c r="M24" s="62" t="s">
        <v>48</v>
      </c>
      <c r="N24" s="62" t="s">
        <v>28</v>
      </c>
      <c r="O24" s="62" t="s">
        <v>18</v>
      </c>
      <c r="P24" s="62" t="s">
        <v>443</v>
      </c>
      <c r="Q24" s="63">
        <v>10549</v>
      </c>
      <c r="R24" s="62" t="s">
        <v>487</v>
      </c>
      <c r="S24" s="123">
        <v>12</v>
      </c>
    </row>
    <row r="25" spans="1:19" x14ac:dyDescent="0.2">
      <c r="A25" s="62" t="s">
        <v>530</v>
      </c>
      <c r="B25" s="62" t="s">
        <v>435</v>
      </c>
      <c r="C25" s="62" t="s">
        <v>436</v>
      </c>
      <c r="D25" s="63">
        <v>1</v>
      </c>
      <c r="E25" s="63">
        <v>20.41</v>
      </c>
      <c r="F25" s="62" t="s">
        <v>531</v>
      </c>
      <c r="G25" s="62" t="s">
        <v>143</v>
      </c>
      <c r="H25" s="62" t="s">
        <v>270</v>
      </c>
      <c r="I25" s="62" t="s">
        <v>439</v>
      </c>
      <c r="J25" s="62" t="s">
        <v>439</v>
      </c>
      <c r="K25" s="62"/>
      <c r="L25" s="62" t="s">
        <v>532</v>
      </c>
      <c r="M25" s="62" t="s">
        <v>49</v>
      </c>
      <c r="N25" s="62" t="s">
        <v>50</v>
      </c>
      <c r="O25" s="62" t="s">
        <v>18</v>
      </c>
      <c r="P25" s="62" t="s">
        <v>443</v>
      </c>
      <c r="Q25" s="63">
        <v>10507</v>
      </c>
      <c r="R25" s="62" t="s">
        <v>533</v>
      </c>
      <c r="S25" s="123">
        <v>13</v>
      </c>
    </row>
    <row r="26" spans="1:19" x14ac:dyDescent="0.2">
      <c r="A26" s="62" t="s">
        <v>534</v>
      </c>
      <c r="B26" s="62" t="s">
        <v>435</v>
      </c>
      <c r="C26" s="62" t="s">
        <v>436</v>
      </c>
      <c r="D26" s="63">
        <v>1</v>
      </c>
      <c r="E26" s="63">
        <v>20.41</v>
      </c>
      <c r="F26" s="62" t="s">
        <v>535</v>
      </c>
      <c r="G26" s="62" t="s">
        <v>144</v>
      </c>
      <c r="H26" s="62" t="s">
        <v>270</v>
      </c>
      <c r="I26" s="62" t="s">
        <v>439</v>
      </c>
      <c r="J26" s="62" t="s">
        <v>439</v>
      </c>
      <c r="K26" s="62"/>
      <c r="L26" s="62" t="s">
        <v>536</v>
      </c>
      <c r="M26" s="62" t="s">
        <v>51</v>
      </c>
      <c r="N26" s="62" t="s">
        <v>28</v>
      </c>
      <c r="O26" s="62" t="s">
        <v>18</v>
      </c>
      <c r="P26" s="62" t="s">
        <v>443</v>
      </c>
      <c r="Q26" s="63">
        <v>10549</v>
      </c>
      <c r="R26" s="62" t="s">
        <v>537</v>
      </c>
      <c r="S26" s="123">
        <v>13</v>
      </c>
    </row>
    <row r="27" spans="1:19" x14ac:dyDescent="0.2">
      <c r="A27" s="62" t="s">
        <v>538</v>
      </c>
      <c r="B27" s="62" t="s">
        <v>435</v>
      </c>
      <c r="C27" s="62" t="s">
        <v>436</v>
      </c>
      <c r="D27" s="63">
        <v>1</v>
      </c>
      <c r="E27" s="63">
        <v>20.41</v>
      </c>
      <c r="F27" s="62" t="s">
        <v>539</v>
      </c>
      <c r="G27" s="62" t="s">
        <v>145</v>
      </c>
      <c r="H27" s="62" t="s">
        <v>270</v>
      </c>
      <c r="I27" s="62" t="s">
        <v>439</v>
      </c>
      <c r="J27" s="62" t="s">
        <v>439</v>
      </c>
      <c r="K27" s="62"/>
      <c r="L27" s="62" t="s">
        <v>540</v>
      </c>
      <c r="M27" s="62" t="s">
        <v>52</v>
      </c>
      <c r="N27" s="62" t="s">
        <v>28</v>
      </c>
      <c r="O27" s="62" t="s">
        <v>18</v>
      </c>
      <c r="P27" s="62" t="s">
        <v>443</v>
      </c>
      <c r="Q27" s="63">
        <v>10509</v>
      </c>
      <c r="R27" s="62" t="s">
        <v>541</v>
      </c>
      <c r="S27" s="123">
        <v>14</v>
      </c>
    </row>
    <row r="28" spans="1:19" x14ac:dyDescent="0.2">
      <c r="A28" s="62" t="s">
        <v>542</v>
      </c>
      <c r="B28" s="62" t="s">
        <v>435</v>
      </c>
      <c r="C28" s="62" t="s">
        <v>436</v>
      </c>
      <c r="D28" s="63">
        <v>1</v>
      </c>
      <c r="E28" s="63">
        <v>20.41</v>
      </c>
      <c r="F28" s="62" t="s">
        <v>543</v>
      </c>
      <c r="G28" s="62" t="s">
        <v>122</v>
      </c>
      <c r="H28" s="62" t="s">
        <v>269</v>
      </c>
      <c r="I28" s="62" t="s">
        <v>439</v>
      </c>
      <c r="J28" s="62" t="s">
        <v>439</v>
      </c>
      <c r="K28" s="62"/>
      <c r="L28" s="62" t="s">
        <v>544</v>
      </c>
      <c r="M28" s="62" t="s">
        <v>54</v>
      </c>
      <c r="N28" s="62" t="s">
        <v>28</v>
      </c>
      <c r="O28" s="62" t="s">
        <v>18</v>
      </c>
      <c r="P28" s="62" t="s">
        <v>443</v>
      </c>
      <c r="Q28" s="63">
        <v>10549</v>
      </c>
      <c r="R28" s="62" t="s">
        <v>545</v>
      </c>
      <c r="S28" s="123">
        <v>14</v>
      </c>
    </row>
    <row r="29" spans="1:19" x14ac:dyDescent="0.2">
      <c r="A29" s="62" t="s">
        <v>546</v>
      </c>
      <c r="B29" s="62" t="s">
        <v>435</v>
      </c>
      <c r="C29" s="62" t="s">
        <v>436</v>
      </c>
      <c r="D29" s="63">
        <v>1</v>
      </c>
      <c r="E29" s="63">
        <v>20.41</v>
      </c>
      <c r="F29" s="62" t="s">
        <v>547</v>
      </c>
      <c r="G29" s="62" t="s">
        <v>216</v>
      </c>
      <c r="H29" s="62" t="s">
        <v>272</v>
      </c>
      <c r="I29" s="62" t="s">
        <v>439</v>
      </c>
      <c r="J29" s="62" t="s">
        <v>439</v>
      </c>
      <c r="K29" s="62"/>
      <c r="L29" s="62" t="s">
        <v>548</v>
      </c>
      <c r="M29" s="62" t="s">
        <v>55</v>
      </c>
      <c r="N29" s="62" t="s">
        <v>56</v>
      </c>
      <c r="O29" s="62" t="s">
        <v>18</v>
      </c>
      <c r="P29" s="62" t="s">
        <v>443</v>
      </c>
      <c r="Q29" s="63">
        <v>10536</v>
      </c>
      <c r="R29" s="62" t="s">
        <v>549</v>
      </c>
      <c r="S29" s="123">
        <v>15</v>
      </c>
    </row>
    <row r="30" spans="1:19" x14ac:dyDescent="0.2">
      <c r="A30" s="62" t="s">
        <v>550</v>
      </c>
      <c r="B30" s="62" t="s">
        <v>435</v>
      </c>
      <c r="C30" s="62" t="s">
        <v>436</v>
      </c>
      <c r="D30" s="63">
        <v>1</v>
      </c>
      <c r="E30" s="63">
        <v>18.14</v>
      </c>
      <c r="F30" s="62" t="s">
        <v>551</v>
      </c>
      <c r="G30" s="62" t="s">
        <v>204</v>
      </c>
      <c r="H30" s="62" t="s">
        <v>271</v>
      </c>
      <c r="I30" s="62" t="s">
        <v>439</v>
      </c>
      <c r="J30" s="62" t="s">
        <v>439</v>
      </c>
      <c r="K30" s="62"/>
      <c r="L30" s="62" t="s">
        <v>552</v>
      </c>
      <c r="M30" s="62" t="s">
        <v>57</v>
      </c>
      <c r="N30" s="62" t="s">
        <v>28</v>
      </c>
      <c r="O30" s="62" t="s">
        <v>18</v>
      </c>
      <c r="P30" s="62" t="s">
        <v>443</v>
      </c>
      <c r="Q30" s="63">
        <v>10549</v>
      </c>
      <c r="R30" s="62" t="s">
        <v>553</v>
      </c>
      <c r="S30" s="123">
        <v>15</v>
      </c>
    </row>
    <row r="31" spans="1:19" x14ac:dyDescent="0.2">
      <c r="A31" s="62" t="s">
        <v>554</v>
      </c>
      <c r="B31" s="62" t="s">
        <v>435</v>
      </c>
      <c r="C31" s="62" t="s">
        <v>436</v>
      </c>
      <c r="D31" s="63">
        <v>1</v>
      </c>
      <c r="E31" s="63">
        <v>20.41</v>
      </c>
      <c r="F31" s="62" t="s">
        <v>555</v>
      </c>
      <c r="G31" s="62" t="s">
        <v>248</v>
      </c>
      <c r="H31" s="62" t="s">
        <v>274</v>
      </c>
      <c r="I31" s="62" t="s">
        <v>439</v>
      </c>
      <c r="J31" s="62" t="s">
        <v>439</v>
      </c>
      <c r="K31" s="62"/>
      <c r="L31" s="62" t="s">
        <v>556</v>
      </c>
      <c r="M31" s="62" t="s">
        <v>58</v>
      </c>
      <c r="N31" s="62" t="s">
        <v>26</v>
      </c>
      <c r="O31" s="62" t="s">
        <v>18</v>
      </c>
      <c r="P31" s="62" t="s">
        <v>443</v>
      </c>
      <c r="Q31" s="63">
        <v>10509</v>
      </c>
      <c r="R31" s="62" t="s">
        <v>557</v>
      </c>
      <c r="S31" s="63">
        <v>16</v>
      </c>
    </row>
    <row r="32" spans="1:19" x14ac:dyDescent="0.2">
      <c r="A32" s="62" t="s">
        <v>558</v>
      </c>
      <c r="B32" s="62" t="s">
        <v>435</v>
      </c>
      <c r="C32" s="62" t="s">
        <v>436</v>
      </c>
      <c r="D32" s="63">
        <v>1</v>
      </c>
      <c r="E32" s="63">
        <v>20.41</v>
      </c>
      <c r="F32" s="62" t="s">
        <v>559</v>
      </c>
      <c r="G32" s="62" t="s">
        <v>249</v>
      </c>
      <c r="H32" s="62" t="s">
        <v>274</v>
      </c>
      <c r="I32" s="62" t="s">
        <v>439</v>
      </c>
      <c r="J32" s="62" t="s">
        <v>439</v>
      </c>
      <c r="K32" s="62"/>
      <c r="L32" s="62" t="s">
        <v>560</v>
      </c>
      <c r="M32" s="62" t="s">
        <v>59</v>
      </c>
      <c r="N32" s="62" t="s">
        <v>56</v>
      </c>
      <c r="O32" s="62" t="s">
        <v>18</v>
      </c>
      <c r="P32" s="62" t="s">
        <v>443</v>
      </c>
      <c r="Q32" s="63">
        <v>10536</v>
      </c>
      <c r="R32" s="62" t="s">
        <v>557</v>
      </c>
      <c r="S32" s="63">
        <v>17</v>
      </c>
    </row>
    <row r="33" spans="1:19" x14ac:dyDescent="0.2">
      <c r="A33" s="62" t="s">
        <v>561</v>
      </c>
      <c r="B33" s="62" t="s">
        <v>435</v>
      </c>
      <c r="C33" s="62" t="s">
        <v>436</v>
      </c>
      <c r="D33" s="63">
        <v>1</v>
      </c>
      <c r="E33" s="63">
        <v>22.68</v>
      </c>
      <c r="F33" s="62" t="s">
        <v>562</v>
      </c>
      <c r="G33" s="62" t="s">
        <v>250</v>
      </c>
      <c r="H33" s="62" t="s">
        <v>274</v>
      </c>
      <c r="I33" s="62" t="s">
        <v>439</v>
      </c>
      <c r="J33" s="62" t="s">
        <v>439</v>
      </c>
      <c r="K33" s="62"/>
      <c r="L33" s="62" t="s">
        <v>563</v>
      </c>
      <c r="M33" s="62" t="s">
        <v>60</v>
      </c>
      <c r="N33" s="62" t="s">
        <v>26</v>
      </c>
      <c r="O33" s="62" t="s">
        <v>18</v>
      </c>
      <c r="P33" s="62" t="s">
        <v>443</v>
      </c>
      <c r="Q33" s="63">
        <v>10509</v>
      </c>
      <c r="R33" s="62" t="s">
        <v>564</v>
      </c>
      <c r="S33" s="63">
        <v>18</v>
      </c>
    </row>
    <row r="34" spans="1:19" x14ac:dyDescent="0.2">
      <c r="A34" s="62" t="s">
        <v>565</v>
      </c>
      <c r="B34" s="62" t="s">
        <v>435</v>
      </c>
      <c r="C34" s="62" t="s">
        <v>436</v>
      </c>
      <c r="D34" s="63">
        <v>1</v>
      </c>
      <c r="E34" s="63">
        <v>20.41</v>
      </c>
      <c r="F34" s="62" t="s">
        <v>566</v>
      </c>
      <c r="G34" s="62" t="s">
        <v>252</v>
      </c>
      <c r="H34" s="62" t="s">
        <v>274</v>
      </c>
      <c r="I34" s="62" t="s">
        <v>439</v>
      </c>
      <c r="J34" s="62" t="s">
        <v>439</v>
      </c>
      <c r="K34" s="62"/>
      <c r="L34" s="62" t="s">
        <v>567</v>
      </c>
      <c r="M34" s="62" t="s">
        <v>61</v>
      </c>
      <c r="N34" s="62" t="s">
        <v>28</v>
      </c>
      <c r="O34" s="62" t="s">
        <v>18</v>
      </c>
      <c r="P34" s="62" t="s">
        <v>443</v>
      </c>
      <c r="Q34" s="63">
        <v>10549</v>
      </c>
      <c r="R34" s="62" t="s">
        <v>568</v>
      </c>
      <c r="S34" s="63">
        <v>19</v>
      </c>
    </row>
    <row r="35" spans="1:19" x14ac:dyDescent="0.2">
      <c r="A35" s="62" t="s">
        <v>569</v>
      </c>
      <c r="B35" s="62" t="s">
        <v>435</v>
      </c>
      <c r="C35" s="62" t="s">
        <v>436</v>
      </c>
      <c r="D35" s="63">
        <v>1</v>
      </c>
      <c r="E35" s="63">
        <v>20.41</v>
      </c>
      <c r="F35" s="62" t="s">
        <v>570</v>
      </c>
      <c r="G35" s="62" t="s">
        <v>123</v>
      </c>
      <c r="H35" s="62" t="s">
        <v>269</v>
      </c>
      <c r="I35" s="62" t="s">
        <v>439</v>
      </c>
      <c r="J35" s="62" t="s">
        <v>439</v>
      </c>
      <c r="K35" s="62"/>
      <c r="L35" s="62" t="s">
        <v>571</v>
      </c>
      <c r="M35" s="62" t="s">
        <v>62</v>
      </c>
      <c r="N35" s="62" t="s">
        <v>28</v>
      </c>
      <c r="O35" s="62" t="s">
        <v>18</v>
      </c>
      <c r="P35" s="62" t="s">
        <v>443</v>
      </c>
      <c r="Q35" s="63">
        <v>10549</v>
      </c>
      <c r="R35" s="62" t="s">
        <v>572</v>
      </c>
      <c r="S35" s="63">
        <v>19</v>
      </c>
    </row>
    <row r="36" spans="1:19" x14ac:dyDescent="0.2">
      <c r="A36" s="62" t="s">
        <v>573</v>
      </c>
      <c r="B36" s="62" t="s">
        <v>435</v>
      </c>
      <c r="C36" s="62" t="s">
        <v>436</v>
      </c>
      <c r="D36" s="63">
        <v>1</v>
      </c>
      <c r="E36" s="63">
        <v>11.34</v>
      </c>
      <c r="F36" s="62" t="s">
        <v>574</v>
      </c>
      <c r="G36" s="62" t="s">
        <v>124</v>
      </c>
      <c r="H36" s="62" t="s">
        <v>269</v>
      </c>
      <c r="I36" s="62" t="s">
        <v>439</v>
      </c>
      <c r="J36" s="62" t="s">
        <v>439</v>
      </c>
      <c r="K36" s="62"/>
      <c r="L36" s="62" t="s">
        <v>575</v>
      </c>
      <c r="M36" s="62" t="s">
        <v>63</v>
      </c>
      <c r="N36" s="62" t="s">
        <v>64</v>
      </c>
      <c r="O36" s="62" t="s">
        <v>18</v>
      </c>
      <c r="P36" s="62" t="s">
        <v>443</v>
      </c>
      <c r="Q36" s="63">
        <v>10514</v>
      </c>
      <c r="R36" s="62" t="s">
        <v>577</v>
      </c>
      <c r="S36" s="63">
        <v>20</v>
      </c>
    </row>
    <row r="37" spans="1:19" x14ac:dyDescent="0.2">
      <c r="A37" s="62" t="s">
        <v>578</v>
      </c>
      <c r="B37" s="62" t="s">
        <v>435</v>
      </c>
      <c r="C37" s="62" t="s">
        <v>436</v>
      </c>
      <c r="D37" s="63">
        <v>1</v>
      </c>
      <c r="E37" s="63">
        <v>11.34</v>
      </c>
      <c r="F37" s="62" t="s">
        <v>579</v>
      </c>
      <c r="G37" s="62" t="s">
        <v>125</v>
      </c>
      <c r="H37" s="62" t="s">
        <v>269</v>
      </c>
      <c r="I37" s="62" t="s">
        <v>439</v>
      </c>
      <c r="J37" s="62" t="s">
        <v>439</v>
      </c>
      <c r="K37" s="62"/>
      <c r="L37" s="62" t="s">
        <v>580</v>
      </c>
      <c r="M37" s="62" t="s">
        <v>65</v>
      </c>
      <c r="N37" s="62" t="s">
        <v>28</v>
      </c>
      <c r="O37" s="62" t="s">
        <v>18</v>
      </c>
      <c r="P37" s="62" t="s">
        <v>443</v>
      </c>
      <c r="Q37" s="63">
        <v>10549</v>
      </c>
      <c r="R37" s="62" t="s">
        <v>577</v>
      </c>
      <c r="S37" s="63">
        <v>20</v>
      </c>
    </row>
    <row r="38" spans="1:19" x14ac:dyDescent="0.2">
      <c r="A38" s="62" t="s">
        <v>581</v>
      </c>
      <c r="B38" s="62" t="s">
        <v>435</v>
      </c>
      <c r="C38" s="62" t="s">
        <v>436</v>
      </c>
      <c r="D38" s="63">
        <v>1</v>
      </c>
      <c r="E38" s="63">
        <v>20.41</v>
      </c>
      <c r="F38" s="62" t="s">
        <v>582</v>
      </c>
      <c r="G38" s="62" t="s">
        <v>126</v>
      </c>
      <c r="H38" s="62" t="s">
        <v>269</v>
      </c>
      <c r="I38" s="62" t="s">
        <v>439</v>
      </c>
      <c r="J38" s="62" t="s">
        <v>439</v>
      </c>
      <c r="K38" s="62"/>
      <c r="L38" s="62" t="s">
        <v>583</v>
      </c>
      <c r="M38" s="62" t="s">
        <v>66</v>
      </c>
      <c r="N38" s="62" t="s">
        <v>22</v>
      </c>
      <c r="O38" s="62" t="s">
        <v>18</v>
      </c>
      <c r="P38" s="62" t="s">
        <v>443</v>
      </c>
      <c r="Q38" s="63">
        <v>10080</v>
      </c>
      <c r="R38" s="62" t="s">
        <v>584</v>
      </c>
      <c r="S38" s="63">
        <v>21</v>
      </c>
    </row>
    <row r="39" spans="1:19" x14ac:dyDescent="0.2">
      <c r="A39" s="62" t="s">
        <v>585</v>
      </c>
      <c r="B39" s="62" t="s">
        <v>435</v>
      </c>
      <c r="C39" s="62" t="s">
        <v>436</v>
      </c>
      <c r="D39" s="63">
        <v>1</v>
      </c>
      <c r="E39" s="63">
        <v>20.41</v>
      </c>
      <c r="F39" s="62" t="s">
        <v>586</v>
      </c>
      <c r="G39" s="62" t="s">
        <v>223</v>
      </c>
      <c r="H39" s="62" t="s">
        <v>272</v>
      </c>
      <c r="I39" s="62" t="s">
        <v>439</v>
      </c>
      <c r="J39" s="62" t="s">
        <v>439</v>
      </c>
      <c r="K39" s="62"/>
      <c r="L39" s="62" t="s">
        <v>587</v>
      </c>
      <c r="M39" s="62" t="s">
        <v>71</v>
      </c>
      <c r="N39" s="62" t="s">
        <v>70</v>
      </c>
      <c r="O39" s="62" t="s">
        <v>18</v>
      </c>
      <c r="P39" s="62" t="s">
        <v>443</v>
      </c>
      <c r="Q39" s="63">
        <v>10001</v>
      </c>
      <c r="R39" s="62" t="s">
        <v>588</v>
      </c>
      <c r="S39" s="63">
        <v>21</v>
      </c>
    </row>
    <row r="40" spans="1:19" x14ac:dyDescent="0.2">
      <c r="A40" s="62" t="s">
        <v>589</v>
      </c>
      <c r="B40" s="62" t="s">
        <v>435</v>
      </c>
      <c r="C40" s="62" t="s">
        <v>436</v>
      </c>
      <c r="D40" s="63">
        <v>1</v>
      </c>
      <c r="E40" s="63">
        <v>20.41</v>
      </c>
      <c r="F40" s="62" t="s">
        <v>570</v>
      </c>
      <c r="G40" s="62" t="s">
        <v>155</v>
      </c>
      <c r="H40" s="62" t="s">
        <v>270</v>
      </c>
      <c r="I40" s="62" t="s">
        <v>439</v>
      </c>
      <c r="J40" s="62" t="s">
        <v>439</v>
      </c>
      <c r="K40" s="62"/>
      <c r="L40" s="62" t="s">
        <v>590</v>
      </c>
      <c r="M40" s="62" t="s">
        <v>72</v>
      </c>
      <c r="N40" s="62" t="s">
        <v>28</v>
      </c>
      <c r="O40" s="62" t="s">
        <v>18</v>
      </c>
      <c r="P40" s="62" t="s">
        <v>443</v>
      </c>
      <c r="Q40" s="63">
        <v>10549</v>
      </c>
      <c r="R40" s="62" t="s">
        <v>591</v>
      </c>
      <c r="S40" s="63">
        <v>22</v>
      </c>
    </row>
    <row r="41" spans="1:19" x14ac:dyDescent="0.2">
      <c r="A41" s="62" t="s">
        <v>592</v>
      </c>
      <c r="B41" s="62" t="s">
        <v>435</v>
      </c>
      <c r="C41" s="62" t="s">
        <v>436</v>
      </c>
      <c r="D41" s="63">
        <v>1</v>
      </c>
      <c r="E41" s="63">
        <v>11.34</v>
      </c>
      <c r="F41" s="62" t="s">
        <v>593</v>
      </c>
      <c r="G41" s="62" t="s">
        <v>171</v>
      </c>
      <c r="H41" s="62" t="s">
        <v>163</v>
      </c>
      <c r="I41" s="62" t="s">
        <v>439</v>
      </c>
      <c r="J41" s="62" t="s">
        <v>439</v>
      </c>
      <c r="K41" s="62"/>
      <c r="L41" s="62" t="s">
        <v>594</v>
      </c>
      <c r="M41" s="62" t="s">
        <v>74</v>
      </c>
      <c r="N41" s="62" t="s">
        <v>28</v>
      </c>
      <c r="O41" s="62" t="s">
        <v>18</v>
      </c>
      <c r="P41" s="62" t="s">
        <v>443</v>
      </c>
      <c r="Q41" s="63">
        <v>10549</v>
      </c>
      <c r="R41" s="62" t="s">
        <v>595</v>
      </c>
      <c r="S41" s="63">
        <v>22</v>
      </c>
    </row>
    <row r="42" spans="1:19" x14ac:dyDescent="0.2">
      <c r="A42" s="62" t="s">
        <v>596</v>
      </c>
      <c r="B42" s="62" t="s">
        <v>435</v>
      </c>
      <c r="C42" s="62" t="s">
        <v>436</v>
      </c>
      <c r="D42" s="63">
        <v>1</v>
      </c>
      <c r="E42" s="63">
        <v>15.88</v>
      </c>
      <c r="F42" s="62" t="s">
        <v>597</v>
      </c>
      <c r="G42" s="62" t="s">
        <v>192</v>
      </c>
      <c r="H42" s="62" t="s">
        <v>113</v>
      </c>
      <c r="I42" s="62" t="s">
        <v>439</v>
      </c>
      <c r="J42" s="62" t="s">
        <v>439</v>
      </c>
      <c r="K42" s="62"/>
      <c r="L42" s="62" t="s">
        <v>598</v>
      </c>
      <c r="M42" s="62" t="s">
        <v>75</v>
      </c>
      <c r="N42" s="62" t="s">
        <v>28</v>
      </c>
      <c r="O42" s="62" t="s">
        <v>18</v>
      </c>
      <c r="P42" s="62" t="s">
        <v>443</v>
      </c>
      <c r="Q42" s="63">
        <v>10549</v>
      </c>
      <c r="R42" s="62" t="s">
        <v>599</v>
      </c>
      <c r="S42" s="63">
        <v>23</v>
      </c>
    </row>
    <row r="43" spans="1:19" x14ac:dyDescent="0.2">
      <c r="A43" s="62" t="s">
        <v>600</v>
      </c>
      <c r="B43" s="62" t="s">
        <v>435</v>
      </c>
      <c r="C43" s="62" t="s">
        <v>436</v>
      </c>
      <c r="D43" s="63">
        <v>1</v>
      </c>
      <c r="E43" s="63">
        <v>23.59</v>
      </c>
      <c r="F43" s="62" t="s">
        <v>601</v>
      </c>
      <c r="G43" s="62" t="s">
        <v>128</v>
      </c>
      <c r="H43" s="62" t="s">
        <v>269</v>
      </c>
      <c r="I43" s="62" t="s">
        <v>439</v>
      </c>
      <c r="J43" s="62" t="s">
        <v>439</v>
      </c>
      <c r="K43" s="62"/>
      <c r="L43" s="62" t="s">
        <v>602</v>
      </c>
      <c r="M43" s="62" t="s">
        <v>76</v>
      </c>
      <c r="N43" s="62" t="s">
        <v>28</v>
      </c>
      <c r="O43" s="62" t="s">
        <v>18</v>
      </c>
      <c r="P43" s="62" t="s">
        <v>443</v>
      </c>
      <c r="Q43" s="63">
        <v>10549</v>
      </c>
      <c r="R43" s="62" t="s">
        <v>603</v>
      </c>
      <c r="S43" s="63">
        <v>24</v>
      </c>
    </row>
    <row r="44" spans="1:19" x14ac:dyDescent="0.2">
      <c r="A44" s="62" t="s">
        <v>604</v>
      </c>
      <c r="B44" s="62" t="s">
        <v>435</v>
      </c>
      <c r="C44" s="62" t="s">
        <v>436</v>
      </c>
      <c r="D44" s="63">
        <v>1</v>
      </c>
      <c r="E44" s="63">
        <v>29.03</v>
      </c>
      <c r="F44" s="62" t="s">
        <v>605</v>
      </c>
      <c r="G44" s="62" t="s">
        <v>129</v>
      </c>
      <c r="H44" s="62" t="s">
        <v>269</v>
      </c>
      <c r="I44" s="62" t="s">
        <v>439</v>
      </c>
      <c r="J44" s="62" t="s">
        <v>439</v>
      </c>
      <c r="K44" s="62"/>
      <c r="L44" s="62" t="s">
        <v>606</v>
      </c>
      <c r="M44" s="62" t="s">
        <v>77</v>
      </c>
      <c r="N44" s="62" t="s">
        <v>50</v>
      </c>
      <c r="O44" s="62" t="s">
        <v>18</v>
      </c>
      <c r="P44" s="62" t="s">
        <v>443</v>
      </c>
      <c r="Q44" s="63">
        <v>10507</v>
      </c>
      <c r="R44" s="62" t="s">
        <v>603</v>
      </c>
      <c r="S44" s="63">
        <v>25</v>
      </c>
    </row>
    <row r="45" spans="1:19" x14ac:dyDescent="0.2">
      <c r="A45" s="62" t="s">
        <v>607</v>
      </c>
      <c r="B45" s="62" t="s">
        <v>435</v>
      </c>
      <c r="C45" s="62" t="s">
        <v>436</v>
      </c>
      <c r="D45" s="63">
        <v>1</v>
      </c>
      <c r="E45" s="63">
        <v>29.03</v>
      </c>
      <c r="F45" s="62" t="s">
        <v>608</v>
      </c>
      <c r="G45" s="62" t="s">
        <v>130</v>
      </c>
      <c r="H45" s="62" t="s">
        <v>269</v>
      </c>
      <c r="I45" s="62" t="s">
        <v>439</v>
      </c>
      <c r="J45" s="62" t="s">
        <v>439</v>
      </c>
      <c r="K45" s="62"/>
      <c r="L45" s="62" t="s">
        <v>609</v>
      </c>
      <c r="M45" s="62" t="s">
        <v>78</v>
      </c>
      <c r="N45" s="62" t="s">
        <v>70</v>
      </c>
      <c r="O45" s="62" t="s">
        <v>18</v>
      </c>
      <c r="P45" s="62" t="s">
        <v>443</v>
      </c>
      <c r="Q45" s="63">
        <v>10080</v>
      </c>
      <c r="R45" s="62" t="s">
        <v>603</v>
      </c>
      <c r="S45" s="63">
        <v>26</v>
      </c>
    </row>
    <row r="46" spans="1:19" x14ac:dyDescent="0.2">
      <c r="A46" s="62" t="s">
        <v>610</v>
      </c>
      <c r="B46" s="62" t="s">
        <v>435</v>
      </c>
      <c r="C46" s="62" t="s">
        <v>436</v>
      </c>
      <c r="D46" s="63">
        <v>1</v>
      </c>
      <c r="E46" s="63">
        <v>25.4</v>
      </c>
      <c r="F46" s="62" t="s">
        <v>611</v>
      </c>
      <c r="G46" s="62" t="s">
        <v>131</v>
      </c>
      <c r="H46" s="62" t="s">
        <v>269</v>
      </c>
      <c r="I46" s="62" t="s">
        <v>439</v>
      </c>
      <c r="J46" s="62" t="s">
        <v>439</v>
      </c>
      <c r="K46" s="62"/>
      <c r="L46" s="62" t="s">
        <v>612</v>
      </c>
      <c r="M46" s="62" t="s">
        <v>79</v>
      </c>
      <c r="N46" s="62" t="s">
        <v>28</v>
      </c>
      <c r="O46" s="62" t="s">
        <v>18</v>
      </c>
      <c r="P46" s="62" t="s">
        <v>443</v>
      </c>
      <c r="Q46" s="63">
        <v>10549</v>
      </c>
      <c r="R46" s="62" t="s">
        <v>603</v>
      </c>
      <c r="S46" s="63">
        <v>27</v>
      </c>
    </row>
    <row r="47" spans="1:19" x14ac:dyDescent="0.2">
      <c r="A47" s="62" t="s">
        <v>613</v>
      </c>
      <c r="B47" s="62" t="s">
        <v>435</v>
      </c>
      <c r="C47" s="62" t="s">
        <v>436</v>
      </c>
      <c r="D47" s="63">
        <v>1</v>
      </c>
      <c r="E47" s="63">
        <v>5.9</v>
      </c>
      <c r="F47" s="62" t="s">
        <v>614</v>
      </c>
      <c r="G47" s="62" t="s">
        <v>132</v>
      </c>
      <c r="H47" s="62" t="s">
        <v>269</v>
      </c>
      <c r="I47" s="62" t="s">
        <v>439</v>
      </c>
      <c r="J47" s="62" t="s">
        <v>439</v>
      </c>
      <c r="K47" s="62"/>
      <c r="L47" s="62" t="s">
        <v>559</v>
      </c>
      <c r="M47" s="62" t="s">
        <v>80</v>
      </c>
      <c r="N47" s="62" t="s">
        <v>28</v>
      </c>
      <c r="O47" s="62" t="s">
        <v>18</v>
      </c>
      <c r="P47" s="62" t="s">
        <v>443</v>
      </c>
      <c r="Q47" s="63">
        <v>10549</v>
      </c>
      <c r="R47" s="62" t="s">
        <v>557</v>
      </c>
      <c r="S47" s="63">
        <v>28</v>
      </c>
    </row>
    <row r="48" spans="1:19" x14ac:dyDescent="0.2">
      <c r="A48" s="62" t="s">
        <v>615</v>
      </c>
      <c r="B48" s="62" t="s">
        <v>435</v>
      </c>
      <c r="C48" s="62" t="s">
        <v>436</v>
      </c>
      <c r="D48" s="63">
        <v>1</v>
      </c>
      <c r="E48" s="63">
        <v>9.5299999999999994</v>
      </c>
      <c r="F48" s="62" t="s">
        <v>616</v>
      </c>
      <c r="G48" s="62" t="s">
        <v>133</v>
      </c>
      <c r="H48" s="62" t="s">
        <v>269</v>
      </c>
      <c r="I48" s="62" t="s">
        <v>439</v>
      </c>
      <c r="J48" s="62" t="s">
        <v>439</v>
      </c>
      <c r="K48" s="62"/>
      <c r="L48" s="62" t="s">
        <v>617</v>
      </c>
      <c r="M48" s="62" t="s">
        <v>81</v>
      </c>
      <c r="N48" s="62" t="s">
        <v>50</v>
      </c>
      <c r="O48" s="62" t="s">
        <v>18</v>
      </c>
      <c r="P48" s="62" t="s">
        <v>443</v>
      </c>
      <c r="Q48" s="63">
        <v>10509</v>
      </c>
      <c r="R48" s="62" t="s">
        <v>618</v>
      </c>
      <c r="S48" s="63">
        <v>29</v>
      </c>
    </row>
    <row r="49" spans="1:19" x14ac:dyDescent="0.2">
      <c r="A49" s="62" t="s">
        <v>619</v>
      </c>
      <c r="B49" s="62" t="s">
        <v>435</v>
      </c>
      <c r="C49" s="62" t="s">
        <v>436</v>
      </c>
      <c r="D49" s="63">
        <v>1</v>
      </c>
      <c r="E49" s="63">
        <v>9.5299999999999994</v>
      </c>
      <c r="F49" s="62" t="s">
        <v>620</v>
      </c>
      <c r="G49" s="62" t="s">
        <v>134</v>
      </c>
      <c r="H49" s="62" t="s">
        <v>269</v>
      </c>
      <c r="I49" s="62" t="s">
        <v>439</v>
      </c>
      <c r="J49" s="62" t="s">
        <v>439</v>
      </c>
      <c r="K49" s="62"/>
      <c r="L49" s="62" t="s">
        <v>621</v>
      </c>
      <c r="M49" s="62" t="s">
        <v>82</v>
      </c>
      <c r="N49" s="62" t="s">
        <v>28</v>
      </c>
      <c r="O49" s="62" t="s">
        <v>18</v>
      </c>
      <c r="P49" s="62" t="s">
        <v>443</v>
      </c>
      <c r="Q49" s="63">
        <v>10549</v>
      </c>
      <c r="R49" s="62" t="s">
        <v>618</v>
      </c>
      <c r="S49" s="63">
        <v>30</v>
      </c>
    </row>
    <row r="50" spans="1:19" x14ac:dyDescent="0.2">
      <c r="A50" s="62" t="s">
        <v>622</v>
      </c>
      <c r="B50" s="62" t="s">
        <v>435</v>
      </c>
      <c r="C50" s="62" t="s">
        <v>436</v>
      </c>
      <c r="D50" s="63">
        <v>1</v>
      </c>
      <c r="E50" s="63">
        <v>9.98</v>
      </c>
      <c r="F50" s="62" t="s">
        <v>623</v>
      </c>
      <c r="G50" s="62" t="s">
        <v>135</v>
      </c>
      <c r="H50" s="62" t="s">
        <v>269</v>
      </c>
      <c r="I50" s="62" t="s">
        <v>439</v>
      </c>
      <c r="J50" s="62" t="s">
        <v>439</v>
      </c>
      <c r="K50" s="62"/>
      <c r="L50" s="62" t="s">
        <v>624</v>
      </c>
      <c r="M50" s="62" t="s">
        <v>83</v>
      </c>
      <c r="N50" s="62" t="s">
        <v>28</v>
      </c>
      <c r="O50" s="62" t="s">
        <v>18</v>
      </c>
      <c r="P50" s="62" t="s">
        <v>443</v>
      </c>
      <c r="Q50" s="63">
        <v>10549</v>
      </c>
      <c r="R50" s="62" t="s">
        <v>618</v>
      </c>
      <c r="S50" s="63">
        <v>31</v>
      </c>
    </row>
    <row r="51" spans="1:19" x14ac:dyDescent="0.2">
      <c r="A51" s="62" t="s">
        <v>625</v>
      </c>
      <c r="B51" s="62" t="s">
        <v>435</v>
      </c>
      <c r="C51" s="62" t="s">
        <v>436</v>
      </c>
      <c r="D51" s="63">
        <v>1</v>
      </c>
      <c r="E51" s="63">
        <v>19.05</v>
      </c>
      <c r="F51" s="62" t="s">
        <v>626</v>
      </c>
      <c r="G51" s="62" t="s">
        <v>136</v>
      </c>
      <c r="H51" s="62" t="s">
        <v>269</v>
      </c>
      <c r="I51" s="62" t="s">
        <v>439</v>
      </c>
      <c r="J51" s="62" t="s">
        <v>439</v>
      </c>
      <c r="K51" s="62"/>
      <c r="L51" s="62" t="s">
        <v>627</v>
      </c>
      <c r="M51" s="62" t="s">
        <v>84</v>
      </c>
      <c r="N51" s="62" t="s">
        <v>28</v>
      </c>
      <c r="O51" s="62" t="s">
        <v>18</v>
      </c>
      <c r="P51" s="62" t="s">
        <v>443</v>
      </c>
      <c r="Q51" s="63">
        <v>10549</v>
      </c>
      <c r="R51" s="62" t="s">
        <v>628</v>
      </c>
      <c r="S51" s="63">
        <v>32</v>
      </c>
    </row>
    <row r="52" spans="1:19" x14ac:dyDescent="0.2">
      <c r="A52" s="62" t="s">
        <v>629</v>
      </c>
      <c r="B52" s="62" t="s">
        <v>435</v>
      </c>
      <c r="C52" s="62" t="s">
        <v>436</v>
      </c>
      <c r="D52" s="63">
        <v>1</v>
      </c>
      <c r="E52" s="63">
        <v>15.88</v>
      </c>
      <c r="F52" s="62" t="s">
        <v>630</v>
      </c>
      <c r="G52" s="62" t="s">
        <v>137</v>
      </c>
      <c r="H52" s="62" t="s">
        <v>269</v>
      </c>
      <c r="I52" s="62" t="s">
        <v>439</v>
      </c>
      <c r="J52" s="62" t="s">
        <v>439</v>
      </c>
      <c r="K52" s="62"/>
      <c r="L52" s="62" t="s">
        <v>631</v>
      </c>
      <c r="M52" s="62" t="s">
        <v>85</v>
      </c>
      <c r="N52" s="62" t="s">
        <v>39</v>
      </c>
      <c r="O52" s="62" t="s">
        <v>18</v>
      </c>
      <c r="P52" s="62" t="s">
        <v>443</v>
      </c>
      <c r="Q52" s="63">
        <v>10549</v>
      </c>
      <c r="R52" s="62" t="s">
        <v>632</v>
      </c>
      <c r="S52" s="63">
        <v>32</v>
      </c>
    </row>
    <row r="53" spans="1:19" x14ac:dyDescent="0.2">
      <c r="A53" s="62" t="s">
        <v>633</v>
      </c>
      <c r="B53" s="62" t="s">
        <v>435</v>
      </c>
      <c r="C53" s="62" t="s">
        <v>436</v>
      </c>
      <c r="D53" s="63">
        <v>1</v>
      </c>
      <c r="E53" s="63">
        <v>29.03</v>
      </c>
      <c r="F53" s="62" t="s">
        <v>634</v>
      </c>
      <c r="G53" s="62" t="s">
        <v>301</v>
      </c>
      <c r="H53" s="62" t="s">
        <v>269</v>
      </c>
      <c r="I53" s="62" t="s">
        <v>439</v>
      </c>
      <c r="J53" s="62" t="s">
        <v>439</v>
      </c>
      <c r="K53" s="62"/>
      <c r="L53" s="62" t="s">
        <v>635</v>
      </c>
      <c r="M53" s="62" t="s">
        <v>86</v>
      </c>
      <c r="N53" s="62" t="s">
        <v>87</v>
      </c>
      <c r="O53" s="62" t="s">
        <v>18</v>
      </c>
      <c r="P53" s="62" t="s">
        <v>443</v>
      </c>
      <c r="Q53" s="63">
        <v>10514</v>
      </c>
      <c r="R53" s="62" t="s">
        <v>603</v>
      </c>
      <c r="S53" s="63">
        <v>33</v>
      </c>
    </row>
    <row r="54" spans="1:19" x14ac:dyDescent="0.2">
      <c r="A54" s="62" t="s">
        <v>636</v>
      </c>
      <c r="B54" s="62" t="s">
        <v>435</v>
      </c>
      <c r="C54" s="62" t="s">
        <v>436</v>
      </c>
      <c r="D54" s="63">
        <v>1</v>
      </c>
      <c r="E54" s="63">
        <v>6.35</v>
      </c>
      <c r="F54" s="62" t="s">
        <v>637</v>
      </c>
      <c r="G54" s="62" t="s">
        <v>302</v>
      </c>
      <c r="H54" s="62" t="s">
        <v>269</v>
      </c>
      <c r="I54" s="62" t="s">
        <v>439</v>
      </c>
      <c r="J54" s="62" t="s">
        <v>439</v>
      </c>
      <c r="K54" s="62"/>
      <c r="L54" s="62" t="s">
        <v>638</v>
      </c>
      <c r="M54" s="62" t="s">
        <v>88</v>
      </c>
      <c r="N54" s="62" t="s">
        <v>26</v>
      </c>
      <c r="O54" s="62" t="s">
        <v>18</v>
      </c>
      <c r="P54" s="62" t="s">
        <v>443</v>
      </c>
      <c r="Q54" s="63">
        <v>10509</v>
      </c>
      <c r="R54" s="62" t="s">
        <v>618</v>
      </c>
      <c r="S54" s="63">
        <v>34</v>
      </c>
    </row>
    <row r="55" spans="1:19" x14ac:dyDescent="0.2">
      <c r="A55" s="62" t="s">
        <v>639</v>
      </c>
      <c r="B55" s="62" t="s">
        <v>435</v>
      </c>
      <c r="C55" s="62" t="s">
        <v>436</v>
      </c>
      <c r="D55" s="63">
        <v>1</v>
      </c>
      <c r="E55" s="63">
        <v>15.88</v>
      </c>
      <c r="F55" s="62" t="s">
        <v>640</v>
      </c>
      <c r="G55" s="62" t="s">
        <v>206</v>
      </c>
      <c r="H55" s="62" t="s">
        <v>271</v>
      </c>
      <c r="I55" s="62" t="s">
        <v>439</v>
      </c>
      <c r="J55" s="62" t="s">
        <v>439</v>
      </c>
      <c r="K55" s="62"/>
      <c r="L55" s="62" t="s">
        <v>641</v>
      </c>
      <c r="M55" s="62" t="s">
        <v>90</v>
      </c>
      <c r="N55" s="62" t="s">
        <v>28</v>
      </c>
      <c r="O55" s="62" t="s">
        <v>18</v>
      </c>
      <c r="P55" s="62" t="s">
        <v>443</v>
      </c>
      <c r="Q55" s="63">
        <v>10549</v>
      </c>
      <c r="R55" s="62" t="s">
        <v>642</v>
      </c>
      <c r="S55" s="63">
        <v>35</v>
      </c>
    </row>
    <row r="56" spans="1:19" x14ac:dyDescent="0.2">
      <c r="A56" s="62" t="s">
        <v>643</v>
      </c>
      <c r="B56" s="62" t="s">
        <v>435</v>
      </c>
      <c r="C56" s="62" t="s">
        <v>436</v>
      </c>
      <c r="D56" s="63">
        <v>1</v>
      </c>
      <c r="E56" s="63">
        <v>20.41</v>
      </c>
      <c r="F56" s="62" t="s">
        <v>644</v>
      </c>
      <c r="G56" s="62" t="s">
        <v>306</v>
      </c>
      <c r="H56" s="62" t="s">
        <v>269</v>
      </c>
      <c r="I56" s="62" t="s">
        <v>439</v>
      </c>
      <c r="J56" s="62" t="s">
        <v>439</v>
      </c>
      <c r="K56" s="62"/>
      <c r="L56" s="62" t="s">
        <v>645</v>
      </c>
      <c r="M56" s="62" t="s">
        <v>91</v>
      </c>
      <c r="N56" s="62" t="s">
        <v>26</v>
      </c>
      <c r="O56" s="62" t="s">
        <v>18</v>
      </c>
      <c r="P56" s="62" t="s">
        <v>443</v>
      </c>
      <c r="Q56" s="63">
        <v>10507</v>
      </c>
      <c r="R56" s="62" t="s">
        <v>646</v>
      </c>
      <c r="S56" s="63">
        <v>35</v>
      </c>
    </row>
    <row r="57" spans="1:19" x14ac:dyDescent="0.2">
      <c r="A57" s="62" t="s">
        <v>647</v>
      </c>
      <c r="B57" s="62" t="s">
        <v>435</v>
      </c>
      <c r="C57" s="62" t="s">
        <v>436</v>
      </c>
      <c r="D57" s="63">
        <v>1</v>
      </c>
      <c r="E57" s="63">
        <v>22.68</v>
      </c>
      <c r="F57" s="62" t="s">
        <v>648</v>
      </c>
      <c r="G57" s="62" t="s">
        <v>228</v>
      </c>
      <c r="H57" s="62" t="s">
        <v>272</v>
      </c>
      <c r="I57" s="62" t="s">
        <v>439</v>
      </c>
      <c r="J57" s="62" t="s">
        <v>439</v>
      </c>
      <c r="K57" s="62"/>
      <c r="L57" s="62" t="s">
        <v>649</v>
      </c>
      <c r="M57" s="62" t="s">
        <v>92</v>
      </c>
      <c r="N57" s="62" t="s">
        <v>28</v>
      </c>
      <c r="O57" s="62" t="s">
        <v>18</v>
      </c>
      <c r="P57" s="62" t="s">
        <v>443</v>
      </c>
      <c r="Q57" s="63">
        <v>10509</v>
      </c>
      <c r="R57" s="62" t="s">
        <v>650</v>
      </c>
      <c r="S57" s="63">
        <v>36</v>
      </c>
    </row>
    <row r="58" spans="1:19" x14ac:dyDescent="0.2">
      <c r="A58" s="62" t="s">
        <v>662</v>
      </c>
      <c r="B58" s="62" t="s">
        <v>435</v>
      </c>
      <c r="C58" s="62" t="s">
        <v>436</v>
      </c>
      <c r="D58" s="63">
        <v>1</v>
      </c>
      <c r="E58" s="63">
        <v>15.88</v>
      </c>
      <c r="F58" s="62" t="s">
        <v>663</v>
      </c>
      <c r="G58" s="62" t="s">
        <v>230</v>
      </c>
      <c r="H58" s="62" t="s">
        <v>272</v>
      </c>
      <c r="I58" s="62" t="s">
        <v>439</v>
      </c>
      <c r="J58" s="62" t="s">
        <v>439</v>
      </c>
      <c r="K58" s="62"/>
      <c r="L58" s="62" t="s">
        <v>664</v>
      </c>
      <c r="M58" s="62" t="s">
        <v>96</v>
      </c>
      <c r="N58" s="62" t="s">
        <v>28</v>
      </c>
      <c r="O58" s="62" t="s">
        <v>18</v>
      </c>
      <c r="P58" s="62" t="s">
        <v>443</v>
      </c>
      <c r="Q58" s="63">
        <v>10549</v>
      </c>
      <c r="R58" s="62" t="s">
        <v>665</v>
      </c>
      <c r="S58" s="63">
        <v>36</v>
      </c>
    </row>
    <row r="59" spans="1:19" x14ac:dyDescent="0.2">
      <c r="A59" s="62" t="s">
        <v>666</v>
      </c>
      <c r="B59" s="62" t="s">
        <v>435</v>
      </c>
      <c r="C59" s="62" t="s">
        <v>436</v>
      </c>
      <c r="D59" s="63">
        <v>1</v>
      </c>
      <c r="E59" s="63">
        <v>22.68</v>
      </c>
      <c r="F59" s="62" t="s">
        <v>667</v>
      </c>
      <c r="G59" s="62" t="s">
        <v>308</v>
      </c>
      <c r="H59" s="62" t="s">
        <v>269</v>
      </c>
      <c r="I59" s="62" t="s">
        <v>439</v>
      </c>
      <c r="J59" s="62" t="s">
        <v>439</v>
      </c>
      <c r="K59" s="62"/>
      <c r="L59" s="62" t="s">
        <v>668</v>
      </c>
      <c r="M59" s="62" t="s">
        <v>97</v>
      </c>
      <c r="N59" s="62" t="s">
        <v>26</v>
      </c>
      <c r="O59" s="62" t="s">
        <v>18</v>
      </c>
      <c r="P59" s="62" t="s">
        <v>443</v>
      </c>
      <c r="Q59" s="63">
        <v>10509</v>
      </c>
      <c r="R59" s="62" t="s">
        <v>670</v>
      </c>
      <c r="S59" s="63">
        <v>37</v>
      </c>
    </row>
    <row r="60" spans="1:19" x14ac:dyDescent="0.2">
      <c r="A60" s="62" t="s">
        <v>651</v>
      </c>
      <c r="B60" s="62" t="s">
        <v>435</v>
      </c>
      <c r="C60" s="62" t="s">
        <v>436</v>
      </c>
      <c r="D60" s="63">
        <v>1</v>
      </c>
      <c r="E60" s="63">
        <v>20.41</v>
      </c>
      <c r="F60" s="62" t="s">
        <v>652</v>
      </c>
      <c r="G60" s="62" t="s">
        <v>240</v>
      </c>
      <c r="H60" s="62" t="s">
        <v>273</v>
      </c>
      <c r="I60" s="62" t="s">
        <v>439</v>
      </c>
      <c r="J60" s="62" t="s">
        <v>439</v>
      </c>
      <c r="K60" s="62"/>
      <c r="L60" s="62" t="s">
        <v>653</v>
      </c>
      <c r="M60" s="62" t="s">
        <v>98</v>
      </c>
      <c r="N60" s="62" t="s">
        <v>28</v>
      </c>
      <c r="O60" s="62" t="s">
        <v>18</v>
      </c>
      <c r="P60" s="62" t="s">
        <v>443</v>
      </c>
      <c r="Q60" s="63">
        <v>10549</v>
      </c>
      <c r="R60" s="62" t="s">
        <v>655</v>
      </c>
      <c r="S60" s="63">
        <v>38</v>
      </c>
    </row>
    <row r="61" spans="1:19" x14ac:dyDescent="0.2">
      <c r="A61" s="62" t="s">
        <v>656</v>
      </c>
      <c r="B61" s="62" t="s">
        <v>435</v>
      </c>
      <c r="C61" s="62" t="s">
        <v>436</v>
      </c>
      <c r="D61" s="63">
        <v>1</v>
      </c>
      <c r="E61" s="63">
        <v>15.88</v>
      </c>
      <c r="F61" s="62" t="s">
        <v>657</v>
      </c>
      <c r="G61" s="62" t="s">
        <v>311</v>
      </c>
      <c r="H61" s="62" t="s">
        <v>269</v>
      </c>
      <c r="I61" s="62" t="s">
        <v>439</v>
      </c>
      <c r="J61" s="62" t="s">
        <v>439</v>
      </c>
      <c r="K61" s="62"/>
      <c r="L61" s="62" t="s">
        <v>658</v>
      </c>
      <c r="M61" s="62" t="s">
        <v>99</v>
      </c>
      <c r="N61" s="62" t="s">
        <v>28</v>
      </c>
      <c r="O61" s="62" t="s">
        <v>18</v>
      </c>
      <c r="P61" s="62" t="s">
        <v>443</v>
      </c>
      <c r="Q61" s="63">
        <v>10509</v>
      </c>
      <c r="R61" s="62" t="s">
        <v>672</v>
      </c>
      <c r="S61" s="63">
        <v>39</v>
      </c>
    </row>
    <row r="62" spans="1:19" x14ac:dyDescent="0.2">
      <c r="A62" s="62" t="s">
        <v>673</v>
      </c>
      <c r="B62" s="62" t="s">
        <v>435</v>
      </c>
      <c r="C62" s="62" t="s">
        <v>436</v>
      </c>
      <c r="D62" s="63">
        <v>1</v>
      </c>
      <c r="E62" s="63">
        <v>13.61</v>
      </c>
      <c r="F62" s="62" t="s">
        <v>674</v>
      </c>
      <c r="G62" s="62" t="s">
        <v>191</v>
      </c>
      <c r="H62" s="62" t="s">
        <v>113</v>
      </c>
      <c r="I62" s="62" t="s">
        <v>439</v>
      </c>
      <c r="J62" s="62" t="s">
        <v>439</v>
      </c>
      <c r="K62" s="62"/>
      <c r="L62" s="62" t="s">
        <v>675</v>
      </c>
      <c r="M62" s="62" t="s">
        <v>100</v>
      </c>
      <c r="N62" s="62" t="s">
        <v>28</v>
      </c>
      <c r="O62" s="62" t="s">
        <v>18</v>
      </c>
      <c r="P62" s="62" t="s">
        <v>443</v>
      </c>
      <c r="Q62" s="63">
        <v>10509</v>
      </c>
      <c r="R62" s="62" t="s">
        <v>676</v>
      </c>
      <c r="S62" s="63">
        <v>40</v>
      </c>
    </row>
    <row r="63" spans="1:19" x14ac:dyDescent="0.2">
      <c r="A63" s="62" t="s">
        <v>677</v>
      </c>
      <c r="B63" s="62" t="s">
        <v>435</v>
      </c>
      <c r="C63" s="62" t="s">
        <v>436</v>
      </c>
      <c r="D63" s="63">
        <v>1</v>
      </c>
      <c r="E63" s="63">
        <v>22.68</v>
      </c>
      <c r="F63" s="62" t="s">
        <v>678</v>
      </c>
      <c r="G63" s="62" t="s">
        <v>313</v>
      </c>
      <c r="H63" s="62" t="s">
        <v>269</v>
      </c>
      <c r="I63" s="62" t="s">
        <v>439</v>
      </c>
      <c r="J63" s="62" t="s">
        <v>439</v>
      </c>
      <c r="K63" s="62"/>
      <c r="L63" s="62" t="s">
        <v>679</v>
      </c>
      <c r="M63" s="62" t="s">
        <v>101</v>
      </c>
      <c r="N63" s="62" t="s">
        <v>70</v>
      </c>
      <c r="O63" s="62" t="s">
        <v>18</v>
      </c>
      <c r="P63" s="62" t="s">
        <v>443</v>
      </c>
      <c r="Q63" s="63">
        <v>10001</v>
      </c>
      <c r="R63" s="62" t="s">
        <v>670</v>
      </c>
      <c r="S63" s="63">
        <v>41</v>
      </c>
    </row>
    <row r="64" spans="1:19" x14ac:dyDescent="0.2">
      <c r="A64" s="77"/>
      <c r="B64" s="77"/>
      <c r="C64" s="77"/>
      <c r="D64" s="78"/>
      <c r="E64" s="78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8"/>
      <c r="R64" s="77"/>
      <c r="S64" s="78"/>
    </row>
    <row r="65" spans="1:19" x14ac:dyDescent="0.2">
      <c r="A65" s="77"/>
      <c r="B65" s="77"/>
      <c r="C65" s="77"/>
      <c r="D65" s="78"/>
      <c r="E65" s="78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8"/>
      <c r="R65" s="77"/>
      <c r="S65" s="78"/>
    </row>
    <row r="66" spans="1:19" x14ac:dyDescent="0.2">
      <c r="A66" s="77"/>
      <c r="B66" s="77"/>
      <c r="C66" s="77"/>
      <c r="D66" s="78"/>
      <c r="E66" s="78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8"/>
      <c r="R66" s="77"/>
      <c r="S66" s="78"/>
    </row>
    <row r="67" spans="1:19" x14ac:dyDescent="0.2">
      <c r="A67" s="77"/>
      <c r="B67" s="77"/>
      <c r="C67" s="77"/>
      <c r="D67" s="78"/>
      <c r="E67" s="78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8"/>
      <c r="R67" s="77"/>
      <c r="S67" s="78"/>
    </row>
    <row r="68" spans="1:19" x14ac:dyDescent="0.2">
      <c r="A68" s="77"/>
      <c r="B68" s="77"/>
      <c r="C68" s="77"/>
      <c r="D68" s="78"/>
      <c r="E68" s="78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8"/>
      <c r="R68" s="77"/>
      <c r="S68" s="78"/>
    </row>
    <row r="69" spans="1:19" x14ac:dyDescent="0.2">
      <c r="A69" s="77"/>
      <c r="B69" s="77"/>
      <c r="C69" s="77"/>
      <c r="D69" s="78"/>
      <c r="E69" s="78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8"/>
      <c r="R69" s="77"/>
      <c r="S69" s="78"/>
    </row>
    <row r="70" spans="1:19" x14ac:dyDescent="0.2">
      <c r="A70" s="77"/>
      <c r="B70" s="77"/>
      <c r="C70" s="77"/>
      <c r="D70" s="78"/>
      <c r="E70" s="78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8"/>
      <c r="R70" s="77"/>
      <c r="S70" s="78"/>
    </row>
    <row r="71" spans="1:19" x14ac:dyDescent="0.2">
      <c r="A71" s="77"/>
      <c r="B71" s="77"/>
      <c r="C71" s="77"/>
      <c r="D71" s="78"/>
      <c r="E71" s="78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8"/>
      <c r="R71" s="77"/>
      <c r="S71" s="78"/>
    </row>
    <row r="72" spans="1:19" x14ac:dyDescent="0.2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8"/>
    </row>
    <row r="73" spans="1:19" x14ac:dyDescent="0.2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8"/>
    </row>
  </sheetData>
  <sortState ref="A3:S76">
    <sortCondition ref="S42"/>
  </sortState>
  <mergeCells count="1">
    <mergeCell ref="A1:E1"/>
  </mergeCells>
  <conditionalFormatting sqref="A1:A1048576">
    <cfRule type="duplicateValues" dxfId="4" priority="3"/>
  </conditionalFormatting>
  <conditionalFormatting sqref="L1:L1048576">
    <cfRule type="duplicateValues" dxfId="3" priority="2"/>
  </conditionalFormatting>
  <conditionalFormatting sqref="M1:M1048576">
    <cfRule type="duplicateValues" dxfId="0" priority="1"/>
  </conditionalFormatting>
  <pageMargins left="0.18" right="0.38" top="0.51" bottom="0.34" header="0.3" footer="0.3"/>
  <pageSetup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1"/>
  <sheetViews>
    <sheetView topLeftCell="A45" zoomScale="96" zoomScaleNormal="96" workbookViewId="0">
      <selection activeCell="A59" sqref="A59:BD65"/>
    </sheetView>
  </sheetViews>
  <sheetFormatPr baseColWidth="10" defaultRowHeight="15" x14ac:dyDescent="0.2"/>
  <cols>
    <col min="1" max="1" width="11.42578125" style="17" customWidth="1"/>
    <col min="2" max="2" width="21.42578125" style="17" customWidth="1"/>
    <col min="3" max="3" width="24.42578125" style="17" customWidth="1"/>
    <col min="4" max="4" width="27.28515625" style="17" customWidth="1"/>
    <col min="5" max="5" width="24.42578125" style="17" customWidth="1"/>
    <col min="6" max="6" width="14.85546875" style="17" customWidth="1"/>
    <col min="7" max="7" width="13" style="17" customWidth="1"/>
    <col min="8" max="8" width="10.140625" style="17" customWidth="1"/>
    <col min="9" max="10" width="11.42578125" style="17"/>
    <col min="11" max="11" width="11.42578125" style="23"/>
    <col min="12" max="12" width="71.7109375" style="16" bestFit="1" customWidth="1"/>
    <col min="13" max="13" width="18.140625" style="17" customWidth="1"/>
    <col min="14" max="14" width="27.28515625" style="17" customWidth="1"/>
    <col min="15" max="16" width="11.42578125" style="17" customWidth="1"/>
    <col min="17" max="17" width="11.42578125" style="17"/>
    <col min="18" max="18" width="27.42578125" style="17" customWidth="1"/>
    <col min="19" max="19" width="33.28515625" style="17" customWidth="1"/>
    <col min="20" max="20" width="20.7109375" style="17" customWidth="1"/>
    <col min="21" max="21" width="11.42578125" style="17"/>
    <col min="22" max="22" width="17.42578125" style="17" customWidth="1"/>
    <col min="23" max="23" width="22.140625" style="17" customWidth="1"/>
    <col min="24" max="24" width="11.42578125" style="17"/>
    <col min="25" max="25" width="50.28515625" style="17" customWidth="1"/>
    <col min="26" max="26" width="42.140625" style="17" customWidth="1"/>
    <col min="27" max="27" width="23.5703125" style="17" customWidth="1"/>
    <col min="28" max="28" width="23.85546875" style="17" customWidth="1"/>
    <col min="29" max="29" width="21.42578125" style="17" customWidth="1"/>
    <col min="30" max="30" width="25.7109375" style="17" customWidth="1"/>
    <col min="31" max="31" width="27.140625" style="17" customWidth="1"/>
    <col min="32" max="32" width="22.28515625" style="17" customWidth="1"/>
    <col min="33" max="33" width="22.7109375" style="17" customWidth="1"/>
    <col min="34" max="48" width="11.42578125" style="17"/>
    <col min="49" max="49" width="15.28515625" style="17" customWidth="1"/>
    <col min="50" max="50" width="18" style="17" customWidth="1"/>
    <col min="51" max="51" width="21.7109375" style="17" customWidth="1"/>
    <col min="52" max="52" width="24.42578125" style="17" customWidth="1"/>
    <col min="53" max="53" width="20" style="17" customWidth="1"/>
    <col min="54" max="54" width="16" style="17" customWidth="1"/>
    <col min="55" max="55" width="22" style="17" customWidth="1"/>
    <col min="56" max="16384" width="11.42578125" style="17"/>
  </cols>
  <sheetData>
    <row r="1" spans="1:56" ht="15.75" x14ac:dyDescent="0.2">
      <c r="A1" s="125" t="s">
        <v>316</v>
      </c>
      <c r="B1" s="125"/>
      <c r="C1" s="125"/>
      <c r="D1" s="126" t="s">
        <v>429</v>
      </c>
      <c r="E1" s="126"/>
      <c r="F1" s="127"/>
      <c r="G1" s="127"/>
      <c r="H1" s="128"/>
      <c r="I1" s="15"/>
      <c r="J1" s="15"/>
      <c r="K1" s="22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21"/>
      <c r="BA1" s="15"/>
      <c r="BB1" s="15"/>
      <c r="BC1" s="15"/>
      <c r="BD1" s="15"/>
    </row>
    <row r="2" spans="1:56" x14ac:dyDescent="0.2">
      <c r="A2" s="19" t="s">
        <v>379</v>
      </c>
      <c r="B2" s="19" t="s">
        <v>380</v>
      </c>
      <c r="C2" s="19" t="s">
        <v>381</v>
      </c>
      <c r="D2" s="20" t="s">
        <v>382</v>
      </c>
      <c r="E2" s="15" t="s">
        <v>383</v>
      </c>
      <c r="F2" s="15" t="s">
        <v>329</v>
      </c>
      <c r="G2" s="15" t="s">
        <v>330</v>
      </c>
      <c r="H2" s="15" t="s">
        <v>331</v>
      </c>
      <c r="I2" s="15" t="s">
        <v>332</v>
      </c>
      <c r="J2" s="15" t="s">
        <v>333</v>
      </c>
      <c r="K2" s="22" t="s">
        <v>334</v>
      </c>
      <c r="L2" s="15" t="s">
        <v>335</v>
      </c>
      <c r="M2" s="15" t="s">
        <v>336</v>
      </c>
      <c r="N2" s="15" t="s">
        <v>337</v>
      </c>
      <c r="O2" s="15" t="s">
        <v>338</v>
      </c>
      <c r="P2" s="15" t="s">
        <v>339</v>
      </c>
      <c r="Q2" s="15" t="s">
        <v>340</v>
      </c>
      <c r="R2" s="15" t="s">
        <v>341</v>
      </c>
      <c r="S2" s="15" t="s">
        <v>342</v>
      </c>
      <c r="T2" s="15" t="s">
        <v>343</v>
      </c>
      <c r="U2" s="15" t="s">
        <v>344</v>
      </c>
      <c r="V2" s="15" t="s">
        <v>345</v>
      </c>
      <c r="W2" s="15" t="s">
        <v>346</v>
      </c>
      <c r="X2" s="15" t="s">
        <v>347</v>
      </c>
      <c r="Y2" s="15" t="s">
        <v>348</v>
      </c>
      <c r="Z2" s="15" t="s">
        <v>349</v>
      </c>
      <c r="AA2" s="15" t="s">
        <v>350</v>
      </c>
      <c r="AB2" s="15" t="s">
        <v>351</v>
      </c>
      <c r="AC2" s="15" t="s">
        <v>352</v>
      </c>
      <c r="AD2" s="15" t="s">
        <v>353</v>
      </c>
      <c r="AE2" s="15" t="s">
        <v>354</v>
      </c>
      <c r="AF2" s="15" t="s">
        <v>355</v>
      </c>
      <c r="AG2" s="15" t="s">
        <v>356</v>
      </c>
      <c r="AH2" s="15" t="s">
        <v>357</v>
      </c>
      <c r="AI2" s="15" t="s">
        <v>358</v>
      </c>
      <c r="AJ2" s="15" t="s">
        <v>359</v>
      </c>
      <c r="AK2" s="15" t="s">
        <v>360</v>
      </c>
      <c r="AL2" s="15" t="s">
        <v>361</v>
      </c>
      <c r="AM2" s="15" t="s">
        <v>362</v>
      </c>
      <c r="AN2" s="15" t="s">
        <v>363</v>
      </c>
      <c r="AO2" s="15" t="s">
        <v>364</v>
      </c>
      <c r="AP2" s="15" t="s">
        <v>365</v>
      </c>
      <c r="AQ2" s="15" t="s">
        <v>366</v>
      </c>
      <c r="AR2" s="15" t="s">
        <v>367</v>
      </c>
      <c r="AS2" s="15" t="s">
        <v>368</v>
      </c>
      <c r="AT2" s="15" t="s">
        <v>369</v>
      </c>
      <c r="AU2" s="15" t="s">
        <v>370</v>
      </c>
      <c r="AV2" s="15" t="s">
        <v>371</v>
      </c>
      <c r="AW2" s="15" t="s">
        <v>372</v>
      </c>
      <c r="AX2" s="15" t="s">
        <v>373</v>
      </c>
      <c r="AY2" s="15" t="s">
        <v>374</v>
      </c>
      <c r="AZ2" s="21" t="s">
        <v>375</v>
      </c>
      <c r="BA2" s="15" t="s">
        <v>376</v>
      </c>
      <c r="BB2" s="15" t="s">
        <v>377</v>
      </c>
      <c r="BC2" s="15" t="s">
        <v>378</v>
      </c>
      <c r="BD2" s="15" t="s">
        <v>111</v>
      </c>
    </row>
    <row r="3" spans="1:56" s="18" customFormat="1" ht="16.5" customHeight="1" x14ac:dyDescent="0.2">
      <c r="A3" s="128">
        <v>23</v>
      </c>
      <c r="B3" s="128" t="s">
        <v>436</v>
      </c>
      <c r="C3" s="128" t="s">
        <v>437</v>
      </c>
      <c r="D3" s="128">
        <v>202</v>
      </c>
      <c r="E3" s="128" t="s">
        <v>438</v>
      </c>
      <c r="F3" s="128" t="s">
        <v>430</v>
      </c>
      <c r="G3" s="128"/>
      <c r="H3" s="128" t="s">
        <v>435</v>
      </c>
      <c r="I3" s="128">
        <v>1</v>
      </c>
      <c r="J3" s="128" t="s">
        <v>440</v>
      </c>
      <c r="K3" s="129">
        <v>34.020000000000003</v>
      </c>
      <c r="L3" s="130" t="s">
        <v>450</v>
      </c>
      <c r="M3" s="128" t="s">
        <v>441</v>
      </c>
      <c r="N3" s="128" t="s">
        <v>442</v>
      </c>
      <c r="O3" s="128"/>
      <c r="P3" s="128"/>
      <c r="Q3" s="128"/>
      <c r="R3" s="128" t="s">
        <v>431</v>
      </c>
      <c r="S3" s="128" t="s">
        <v>444</v>
      </c>
      <c r="T3" s="128" t="s">
        <v>445</v>
      </c>
      <c r="U3" s="128"/>
      <c r="V3" s="128"/>
      <c r="W3" s="128" t="s">
        <v>439</v>
      </c>
      <c r="X3" s="128"/>
      <c r="Y3" s="128" t="s">
        <v>432</v>
      </c>
      <c r="Z3" s="128" t="s">
        <v>21</v>
      </c>
      <c r="AA3" s="128" t="s">
        <v>22</v>
      </c>
      <c r="AB3" s="128" t="s">
        <v>18</v>
      </c>
      <c r="AC3" s="128">
        <v>10080</v>
      </c>
      <c r="AD3" s="128" t="s">
        <v>446</v>
      </c>
      <c r="AE3" s="128">
        <v>2403815843</v>
      </c>
      <c r="AF3" s="128" t="s">
        <v>447</v>
      </c>
      <c r="AG3" s="128">
        <v>21</v>
      </c>
      <c r="AH3" s="128"/>
      <c r="AI3" s="128"/>
      <c r="AJ3" s="128"/>
      <c r="AK3" s="128"/>
      <c r="AL3" s="128"/>
      <c r="AM3" s="128"/>
      <c r="AN3" s="128"/>
      <c r="AO3" s="128"/>
      <c r="AP3" s="128"/>
      <c r="AQ3" s="128"/>
      <c r="AR3" s="128"/>
      <c r="AS3" s="128"/>
      <c r="AT3" s="128"/>
      <c r="AU3" s="128"/>
      <c r="AV3" s="128"/>
      <c r="AW3" s="128">
        <v>86</v>
      </c>
      <c r="AX3" s="128"/>
      <c r="AY3" s="128" t="s">
        <v>439</v>
      </c>
      <c r="AZ3" s="128">
        <v>13</v>
      </c>
      <c r="BA3" s="128" t="s">
        <v>448</v>
      </c>
      <c r="BB3" s="128"/>
      <c r="BC3" s="128" t="s">
        <v>449</v>
      </c>
      <c r="BD3" s="128">
        <v>1</v>
      </c>
    </row>
    <row r="4" spans="1:56" s="18" customFormat="1" x14ac:dyDescent="0.2">
      <c r="A4" s="128">
        <v>23</v>
      </c>
      <c r="B4" s="128" t="s">
        <v>436</v>
      </c>
      <c r="C4" s="128" t="s">
        <v>437</v>
      </c>
      <c r="D4" s="128">
        <v>202</v>
      </c>
      <c r="E4" s="128" t="s">
        <v>438</v>
      </c>
      <c r="F4" s="128" t="s">
        <v>451</v>
      </c>
      <c r="G4" s="128"/>
      <c r="H4" s="128" t="s">
        <v>435</v>
      </c>
      <c r="I4" s="128">
        <v>1</v>
      </c>
      <c r="J4" s="128" t="s">
        <v>440</v>
      </c>
      <c r="K4" s="129">
        <v>20.41</v>
      </c>
      <c r="L4" s="130" t="s">
        <v>455</v>
      </c>
      <c r="M4" s="128" t="s">
        <v>441</v>
      </c>
      <c r="N4" s="128" t="s">
        <v>442</v>
      </c>
      <c r="O4" s="128"/>
      <c r="P4" s="128"/>
      <c r="Q4" s="128"/>
      <c r="R4" s="128" t="s">
        <v>452</v>
      </c>
      <c r="S4" s="128" t="s">
        <v>444</v>
      </c>
      <c r="T4" s="128" t="s">
        <v>445</v>
      </c>
      <c r="U4" s="128"/>
      <c r="V4" s="128"/>
      <c r="W4" s="128" t="s">
        <v>439</v>
      </c>
      <c r="X4" s="128"/>
      <c r="Y4" s="128" t="s">
        <v>453</v>
      </c>
      <c r="Z4" s="128" t="s">
        <v>25</v>
      </c>
      <c r="AA4" s="128" t="s">
        <v>26</v>
      </c>
      <c r="AB4" s="128" t="s">
        <v>18</v>
      </c>
      <c r="AC4" s="128">
        <v>10549</v>
      </c>
      <c r="AD4" s="128" t="s">
        <v>446</v>
      </c>
      <c r="AE4" s="128">
        <v>2408450746</v>
      </c>
      <c r="AF4" s="128" t="s">
        <v>447</v>
      </c>
      <c r="AG4" s="128">
        <v>21</v>
      </c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  <c r="AW4" s="128">
        <v>86</v>
      </c>
      <c r="AX4" s="128"/>
      <c r="AY4" s="128" t="s">
        <v>439</v>
      </c>
      <c r="AZ4" s="128">
        <v>10</v>
      </c>
      <c r="BA4" s="128" t="s">
        <v>448</v>
      </c>
      <c r="BB4" s="128"/>
      <c r="BC4" s="128" t="s">
        <v>449</v>
      </c>
      <c r="BD4" s="128">
        <v>2</v>
      </c>
    </row>
    <row r="5" spans="1:56" s="18" customFormat="1" ht="15.75" customHeight="1" x14ac:dyDescent="0.2">
      <c r="A5" s="128">
        <v>23</v>
      </c>
      <c r="B5" s="128" t="s">
        <v>436</v>
      </c>
      <c r="C5" s="128" t="s">
        <v>437</v>
      </c>
      <c r="D5" s="128">
        <v>202</v>
      </c>
      <c r="E5" s="128" t="s">
        <v>438</v>
      </c>
      <c r="F5" s="128" t="s">
        <v>456</v>
      </c>
      <c r="G5" s="128"/>
      <c r="H5" s="128" t="s">
        <v>435</v>
      </c>
      <c r="I5" s="128">
        <v>1</v>
      </c>
      <c r="J5" s="128" t="s">
        <v>440</v>
      </c>
      <c r="K5" s="129">
        <v>22.68</v>
      </c>
      <c r="L5" s="130" t="s">
        <v>460</v>
      </c>
      <c r="M5" s="128" t="s">
        <v>441</v>
      </c>
      <c r="N5" s="128" t="s">
        <v>442</v>
      </c>
      <c r="O5" s="128"/>
      <c r="P5" s="128"/>
      <c r="Q5" s="128"/>
      <c r="R5" s="128" t="s">
        <v>457</v>
      </c>
      <c r="S5" s="128" t="s">
        <v>444</v>
      </c>
      <c r="T5" s="128" t="s">
        <v>445</v>
      </c>
      <c r="U5" s="128"/>
      <c r="V5" s="128"/>
      <c r="W5" s="128" t="s">
        <v>439</v>
      </c>
      <c r="X5" s="128"/>
      <c r="Y5" s="128" t="s">
        <v>458</v>
      </c>
      <c r="Z5" s="128" t="s">
        <v>27</v>
      </c>
      <c r="AA5" s="128" t="s">
        <v>28</v>
      </c>
      <c r="AB5" s="128" t="s">
        <v>18</v>
      </c>
      <c r="AC5" s="128">
        <v>10549</v>
      </c>
      <c r="AD5" s="128" t="s">
        <v>446</v>
      </c>
      <c r="AE5" s="128">
        <v>2408235214</v>
      </c>
      <c r="AF5" s="128" t="s">
        <v>447</v>
      </c>
      <c r="AG5" s="128">
        <v>21</v>
      </c>
      <c r="AH5" s="128"/>
      <c r="AI5" s="128"/>
      <c r="AJ5" s="128"/>
      <c r="AK5" s="128"/>
      <c r="AL5" s="128"/>
      <c r="AM5" s="128"/>
      <c r="AN5" s="128"/>
      <c r="AO5" s="128"/>
      <c r="AP5" s="128"/>
      <c r="AQ5" s="128"/>
      <c r="AR5" s="128"/>
      <c r="AS5" s="128"/>
      <c r="AT5" s="128"/>
      <c r="AU5" s="128"/>
      <c r="AV5" s="128"/>
      <c r="AW5" s="128">
        <v>86</v>
      </c>
      <c r="AX5" s="128"/>
      <c r="AY5" s="128" t="s">
        <v>439</v>
      </c>
      <c r="AZ5" s="128">
        <v>11</v>
      </c>
      <c r="BA5" s="128" t="s">
        <v>448</v>
      </c>
      <c r="BB5" s="128"/>
      <c r="BC5" s="128" t="s">
        <v>449</v>
      </c>
      <c r="BD5" s="128">
        <v>2</v>
      </c>
    </row>
    <row r="6" spans="1:56" s="18" customFormat="1" x14ac:dyDescent="0.2">
      <c r="A6" s="128">
        <v>23</v>
      </c>
      <c r="B6" s="128" t="s">
        <v>436</v>
      </c>
      <c r="C6" s="128" t="s">
        <v>437</v>
      </c>
      <c r="D6" s="128">
        <v>202</v>
      </c>
      <c r="E6" s="128" t="s">
        <v>438</v>
      </c>
      <c r="F6" s="128" t="s">
        <v>461</v>
      </c>
      <c r="G6" s="128"/>
      <c r="H6" s="128" t="s">
        <v>435</v>
      </c>
      <c r="I6" s="128">
        <v>1</v>
      </c>
      <c r="J6" s="128" t="s">
        <v>440</v>
      </c>
      <c r="K6" s="129">
        <v>20.41</v>
      </c>
      <c r="L6" s="130" t="s">
        <v>455</v>
      </c>
      <c r="M6" s="128" t="s">
        <v>441</v>
      </c>
      <c r="N6" s="128" t="s">
        <v>442</v>
      </c>
      <c r="O6" s="128"/>
      <c r="P6" s="128"/>
      <c r="Q6" s="128"/>
      <c r="R6" s="128" t="s">
        <v>462</v>
      </c>
      <c r="S6" s="128" t="s">
        <v>444</v>
      </c>
      <c r="T6" s="128" t="s">
        <v>445</v>
      </c>
      <c r="U6" s="128"/>
      <c r="V6" s="128"/>
      <c r="W6" s="128" t="s">
        <v>439</v>
      </c>
      <c r="X6" s="128"/>
      <c r="Y6" s="128" t="s">
        <v>463</v>
      </c>
      <c r="Z6" s="128" t="s">
        <v>29</v>
      </c>
      <c r="AA6" s="128" t="s">
        <v>28</v>
      </c>
      <c r="AB6" s="128" t="s">
        <v>18</v>
      </c>
      <c r="AC6" s="128">
        <v>10549</v>
      </c>
      <c r="AD6" s="128" t="s">
        <v>446</v>
      </c>
      <c r="AE6" s="128">
        <v>2409251154</v>
      </c>
      <c r="AF6" s="128" t="s">
        <v>447</v>
      </c>
      <c r="AG6" s="128">
        <v>21</v>
      </c>
      <c r="AH6" s="128"/>
      <c r="AI6" s="128"/>
      <c r="AJ6" s="128"/>
      <c r="AK6" s="128"/>
      <c r="AL6" s="128"/>
      <c r="AM6" s="128"/>
      <c r="AN6" s="128"/>
      <c r="AO6" s="128"/>
      <c r="AP6" s="128"/>
      <c r="AQ6" s="128"/>
      <c r="AR6" s="128"/>
      <c r="AS6" s="128"/>
      <c r="AT6" s="128"/>
      <c r="AU6" s="128"/>
      <c r="AV6" s="128"/>
      <c r="AW6" s="128">
        <v>86</v>
      </c>
      <c r="AX6" s="128"/>
      <c r="AY6" s="128" t="s">
        <v>439</v>
      </c>
      <c r="AZ6" s="128">
        <v>10</v>
      </c>
      <c r="BA6" s="128" t="s">
        <v>448</v>
      </c>
      <c r="BB6" s="128"/>
      <c r="BC6" s="128" t="s">
        <v>449</v>
      </c>
      <c r="BD6" s="128">
        <v>3</v>
      </c>
    </row>
    <row r="7" spans="1:56" s="18" customFormat="1" x14ac:dyDescent="0.2">
      <c r="A7" s="128">
        <v>23</v>
      </c>
      <c r="B7" s="128" t="s">
        <v>436</v>
      </c>
      <c r="C7" s="128" t="s">
        <v>437</v>
      </c>
      <c r="D7" s="128">
        <v>202</v>
      </c>
      <c r="E7" s="128" t="s">
        <v>438</v>
      </c>
      <c r="F7" s="128" t="s">
        <v>464</v>
      </c>
      <c r="G7" s="128"/>
      <c r="H7" s="128" t="s">
        <v>435</v>
      </c>
      <c r="I7" s="128">
        <v>1</v>
      </c>
      <c r="J7" s="128" t="s">
        <v>440</v>
      </c>
      <c r="K7" s="129">
        <v>20.41</v>
      </c>
      <c r="L7" s="130" t="s">
        <v>468</v>
      </c>
      <c r="M7" s="128" t="s">
        <v>441</v>
      </c>
      <c r="N7" s="128" t="s">
        <v>442</v>
      </c>
      <c r="O7" s="128"/>
      <c r="P7" s="128"/>
      <c r="Q7" s="128"/>
      <c r="R7" s="128" t="s">
        <v>465</v>
      </c>
      <c r="S7" s="128" t="s">
        <v>444</v>
      </c>
      <c r="T7" s="128" t="s">
        <v>445</v>
      </c>
      <c r="U7" s="128"/>
      <c r="V7" s="128"/>
      <c r="W7" s="128" t="s">
        <v>439</v>
      </c>
      <c r="X7" s="128"/>
      <c r="Y7" s="128" t="s">
        <v>466</v>
      </c>
      <c r="Z7" s="128" t="s">
        <v>30</v>
      </c>
      <c r="AA7" s="128" t="s">
        <v>28</v>
      </c>
      <c r="AB7" s="128" t="s">
        <v>18</v>
      </c>
      <c r="AC7" s="128">
        <v>10549</v>
      </c>
      <c r="AD7" s="128" t="s">
        <v>446</v>
      </c>
      <c r="AE7" s="128">
        <v>2402759452</v>
      </c>
      <c r="AF7" s="128" t="s">
        <v>447</v>
      </c>
      <c r="AG7" s="128">
        <v>21</v>
      </c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>
        <v>86</v>
      </c>
      <c r="AX7" s="128"/>
      <c r="AY7" s="128" t="s">
        <v>439</v>
      </c>
      <c r="AZ7" s="128">
        <v>10</v>
      </c>
      <c r="BA7" s="128" t="s">
        <v>448</v>
      </c>
      <c r="BB7" s="128"/>
      <c r="BC7" s="128" t="s">
        <v>449</v>
      </c>
      <c r="BD7" s="128">
        <v>3</v>
      </c>
    </row>
    <row r="8" spans="1:56" s="18" customFormat="1" ht="15.75" customHeight="1" x14ac:dyDescent="0.2">
      <c r="A8" s="128">
        <v>23</v>
      </c>
      <c r="B8" s="128" t="s">
        <v>436</v>
      </c>
      <c r="C8" s="128" t="s">
        <v>437</v>
      </c>
      <c r="D8" s="128">
        <v>202</v>
      </c>
      <c r="E8" s="128" t="s">
        <v>438</v>
      </c>
      <c r="F8" s="128" t="s">
        <v>469</v>
      </c>
      <c r="G8" s="128"/>
      <c r="H8" s="128" t="s">
        <v>435</v>
      </c>
      <c r="I8" s="128">
        <v>1</v>
      </c>
      <c r="J8" s="128" t="s">
        <v>440</v>
      </c>
      <c r="K8" s="129">
        <v>20.41</v>
      </c>
      <c r="L8" s="130" t="s">
        <v>473</v>
      </c>
      <c r="M8" s="128" t="s">
        <v>441</v>
      </c>
      <c r="N8" s="128" t="s">
        <v>442</v>
      </c>
      <c r="O8" s="128"/>
      <c r="P8" s="128"/>
      <c r="Q8" s="128"/>
      <c r="R8" s="128" t="s">
        <v>470</v>
      </c>
      <c r="S8" s="128" t="s">
        <v>444</v>
      </c>
      <c r="T8" s="128" t="s">
        <v>445</v>
      </c>
      <c r="U8" s="128"/>
      <c r="V8" s="128"/>
      <c r="W8" s="128" t="s">
        <v>439</v>
      </c>
      <c r="X8" s="128"/>
      <c r="Y8" s="128" t="s">
        <v>471</v>
      </c>
      <c r="Z8" s="128" t="s">
        <v>31</v>
      </c>
      <c r="AA8" s="128" t="s">
        <v>28</v>
      </c>
      <c r="AB8" s="128" t="s">
        <v>18</v>
      </c>
      <c r="AC8" s="128">
        <v>10549</v>
      </c>
      <c r="AD8" s="128" t="s">
        <v>446</v>
      </c>
      <c r="AE8" s="128">
        <v>2408451123</v>
      </c>
      <c r="AF8" s="128" t="s">
        <v>447</v>
      </c>
      <c r="AG8" s="128">
        <v>21</v>
      </c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>
        <v>86</v>
      </c>
      <c r="AX8" s="128"/>
      <c r="AY8" s="128" t="s">
        <v>439</v>
      </c>
      <c r="AZ8" s="128">
        <v>10</v>
      </c>
      <c r="BA8" s="128" t="s">
        <v>448</v>
      </c>
      <c r="BB8" s="128"/>
      <c r="BC8" s="128" t="s">
        <v>449</v>
      </c>
      <c r="BD8" s="128">
        <v>4</v>
      </c>
    </row>
    <row r="9" spans="1:56" s="18" customFormat="1" ht="15" customHeight="1" x14ac:dyDescent="0.2">
      <c r="A9" s="128">
        <v>23</v>
      </c>
      <c r="B9" s="128" t="s">
        <v>436</v>
      </c>
      <c r="C9" s="128" t="s">
        <v>437</v>
      </c>
      <c r="D9" s="128">
        <v>202</v>
      </c>
      <c r="E9" s="128" t="s">
        <v>438</v>
      </c>
      <c r="F9" s="128" t="s">
        <v>474</v>
      </c>
      <c r="G9" s="128"/>
      <c r="H9" s="128" t="s">
        <v>435</v>
      </c>
      <c r="I9" s="128">
        <v>1</v>
      </c>
      <c r="J9" s="128" t="s">
        <v>440</v>
      </c>
      <c r="K9" s="129">
        <v>20.41</v>
      </c>
      <c r="L9" s="130" t="s">
        <v>477</v>
      </c>
      <c r="M9" s="128" t="s">
        <v>441</v>
      </c>
      <c r="N9" s="128" t="s">
        <v>442</v>
      </c>
      <c r="O9" s="128"/>
      <c r="P9" s="128"/>
      <c r="Q9" s="128"/>
      <c r="R9" s="128" t="s">
        <v>475</v>
      </c>
      <c r="S9" s="128" t="s">
        <v>444</v>
      </c>
      <c r="T9" s="128" t="s">
        <v>445</v>
      </c>
      <c r="U9" s="128"/>
      <c r="V9" s="128"/>
      <c r="W9" s="128" t="s">
        <v>439</v>
      </c>
      <c r="X9" s="128"/>
      <c r="Y9" s="128" t="s">
        <v>476</v>
      </c>
      <c r="Z9" s="128" t="s">
        <v>32</v>
      </c>
      <c r="AA9" s="128" t="s">
        <v>28</v>
      </c>
      <c r="AB9" s="128" t="s">
        <v>18</v>
      </c>
      <c r="AC9" s="128">
        <v>10549</v>
      </c>
      <c r="AD9" s="128" t="s">
        <v>446</v>
      </c>
      <c r="AE9" s="128">
        <v>2403478981</v>
      </c>
      <c r="AF9" s="128" t="s">
        <v>447</v>
      </c>
      <c r="AG9" s="128">
        <v>21</v>
      </c>
      <c r="AH9" s="128"/>
      <c r="AI9" s="128"/>
      <c r="AJ9" s="128"/>
      <c r="AK9" s="128"/>
      <c r="AL9" s="128"/>
      <c r="AM9" s="128"/>
      <c r="AN9" s="128"/>
      <c r="AO9" s="128"/>
      <c r="AP9" s="128"/>
      <c r="AQ9" s="128"/>
      <c r="AR9" s="128"/>
      <c r="AS9" s="128"/>
      <c r="AT9" s="128"/>
      <c r="AU9" s="128"/>
      <c r="AV9" s="128"/>
      <c r="AW9" s="128">
        <v>86</v>
      </c>
      <c r="AX9" s="128"/>
      <c r="AY9" s="128" t="s">
        <v>439</v>
      </c>
      <c r="AZ9" s="128">
        <v>10</v>
      </c>
      <c r="BA9" s="128" t="s">
        <v>448</v>
      </c>
      <c r="BB9" s="128"/>
      <c r="BC9" s="128" t="s">
        <v>449</v>
      </c>
      <c r="BD9" s="128">
        <v>4</v>
      </c>
    </row>
    <row r="10" spans="1:56" s="18" customFormat="1" ht="15.75" customHeight="1" x14ac:dyDescent="0.2">
      <c r="A10" s="128">
        <v>23</v>
      </c>
      <c r="B10" s="128" t="s">
        <v>436</v>
      </c>
      <c r="C10" s="128" t="s">
        <v>437</v>
      </c>
      <c r="D10" s="128">
        <v>202</v>
      </c>
      <c r="E10" s="128" t="s">
        <v>438</v>
      </c>
      <c r="F10" s="128" t="s">
        <v>478</v>
      </c>
      <c r="G10" s="128"/>
      <c r="H10" s="128" t="s">
        <v>435</v>
      </c>
      <c r="I10" s="128">
        <v>1</v>
      </c>
      <c r="J10" s="128" t="s">
        <v>440</v>
      </c>
      <c r="K10" s="129">
        <v>20.41</v>
      </c>
      <c r="L10" s="130" t="s">
        <v>482</v>
      </c>
      <c r="M10" s="128" t="s">
        <v>441</v>
      </c>
      <c r="N10" s="128" t="s">
        <v>442</v>
      </c>
      <c r="O10" s="128"/>
      <c r="P10" s="128"/>
      <c r="Q10" s="128"/>
      <c r="R10" s="128" t="s">
        <v>479</v>
      </c>
      <c r="S10" s="128" t="s">
        <v>444</v>
      </c>
      <c r="T10" s="128" t="s">
        <v>445</v>
      </c>
      <c r="U10" s="128"/>
      <c r="V10" s="128"/>
      <c r="W10" s="128" t="s">
        <v>439</v>
      </c>
      <c r="X10" s="128"/>
      <c r="Y10" s="128" t="s">
        <v>480</v>
      </c>
      <c r="Z10" s="128" t="s">
        <v>33</v>
      </c>
      <c r="AA10" s="128" t="s">
        <v>28</v>
      </c>
      <c r="AB10" s="128" t="s">
        <v>18</v>
      </c>
      <c r="AC10" s="128">
        <v>10549</v>
      </c>
      <c r="AD10" s="128" t="s">
        <v>446</v>
      </c>
      <c r="AE10" s="128">
        <v>2401579985</v>
      </c>
      <c r="AF10" s="128" t="s">
        <v>447</v>
      </c>
      <c r="AG10" s="128">
        <v>21</v>
      </c>
      <c r="AH10" s="128"/>
      <c r="AI10" s="128"/>
      <c r="AJ10" s="128"/>
      <c r="AK10" s="128"/>
      <c r="AL10" s="128"/>
      <c r="AM10" s="128"/>
      <c r="AN10" s="128"/>
      <c r="AO10" s="128"/>
      <c r="AP10" s="128"/>
      <c r="AQ10" s="128"/>
      <c r="AR10" s="128"/>
      <c r="AS10" s="128"/>
      <c r="AT10" s="128"/>
      <c r="AU10" s="128"/>
      <c r="AV10" s="128"/>
      <c r="AW10" s="128">
        <v>86</v>
      </c>
      <c r="AX10" s="128"/>
      <c r="AY10" s="128" t="s">
        <v>439</v>
      </c>
      <c r="AZ10" s="128">
        <v>10</v>
      </c>
      <c r="BA10" s="128" t="s">
        <v>448</v>
      </c>
      <c r="BB10" s="128"/>
      <c r="BC10" s="128" t="s">
        <v>449</v>
      </c>
      <c r="BD10" s="128">
        <v>5</v>
      </c>
    </row>
    <row r="11" spans="1:56" s="18" customFormat="1" ht="15.75" customHeight="1" x14ac:dyDescent="0.2">
      <c r="A11" s="128">
        <v>23</v>
      </c>
      <c r="B11" s="128" t="s">
        <v>436</v>
      </c>
      <c r="C11" s="128" t="s">
        <v>437</v>
      </c>
      <c r="D11" s="128">
        <v>202</v>
      </c>
      <c r="E11" s="128" t="s">
        <v>438</v>
      </c>
      <c r="F11" s="128" t="s">
        <v>483</v>
      </c>
      <c r="G11" s="128"/>
      <c r="H11" s="128" t="s">
        <v>435</v>
      </c>
      <c r="I11" s="128">
        <v>1</v>
      </c>
      <c r="J11" s="128" t="s">
        <v>440</v>
      </c>
      <c r="K11" s="129">
        <v>20.41</v>
      </c>
      <c r="L11" s="130" t="s">
        <v>487</v>
      </c>
      <c r="M11" s="128" t="s">
        <v>441</v>
      </c>
      <c r="N11" s="128" t="s">
        <v>442</v>
      </c>
      <c r="O11" s="128"/>
      <c r="P11" s="128"/>
      <c r="Q11" s="128"/>
      <c r="R11" s="128" t="s">
        <v>484</v>
      </c>
      <c r="S11" s="128" t="s">
        <v>444</v>
      </c>
      <c r="T11" s="128" t="s">
        <v>445</v>
      </c>
      <c r="U11" s="128"/>
      <c r="V11" s="128"/>
      <c r="W11" s="128" t="s">
        <v>439</v>
      </c>
      <c r="X11" s="128"/>
      <c r="Y11" s="128" t="s">
        <v>485</v>
      </c>
      <c r="Z11" s="128" t="s">
        <v>34</v>
      </c>
      <c r="AA11" s="128" t="s">
        <v>28</v>
      </c>
      <c r="AB11" s="128" t="s">
        <v>18</v>
      </c>
      <c r="AC11" s="128">
        <v>10509</v>
      </c>
      <c r="AD11" s="128" t="s">
        <v>446</v>
      </c>
      <c r="AE11" s="128">
        <v>2402756925</v>
      </c>
      <c r="AF11" s="128" t="s">
        <v>447</v>
      </c>
      <c r="AG11" s="128">
        <v>21</v>
      </c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>
        <v>86</v>
      </c>
      <c r="AX11" s="128"/>
      <c r="AY11" s="128" t="s">
        <v>439</v>
      </c>
      <c r="AZ11" s="128">
        <v>10</v>
      </c>
      <c r="BA11" s="128" t="s">
        <v>448</v>
      </c>
      <c r="BB11" s="128"/>
      <c r="BC11" s="128" t="s">
        <v>449</v>
      </c>
      <c r="BD11" s="128">
        <v>5</v>
      </c>
    </row>
    <row r="12" spans="1:56" s="18" customFormat="1" ht="16.5" customHeight="1" x14ac:dyDescent="0.2">
      <c r="A12" s="128">
        <v>23</v>
      </c>
      <c r="B12" s="128" t="s">
        <v>436</v>
      </c>
      <c r="C12" s="128" t="s">
        <v>437</v>
      </c>
      <c r="D12" s="128">
        <v>202</v>
      </c>
      <c r="E12" s="128" t="s">
        <v>438</v>
      </c>
      <c r="F12" s="128" t="s">
        <v>488</v>
      </c>
      <c r="G12" s="128"/>
      <c r="H12" s="128" t="s">
        <v>435</v>
      </c>
      <c r="I12" s="128">
        <v>1</v>
      </c>
      <c r="J12" s="128" t="s">
        <v>440</v>
      </c>
      <c r="K12" s="129">
        <v>20.41</v>
      </c>
      <c r="L12" s="130" t="s">
        <v>455</v>
      </c>
      <c r="M12" s="128" t="s">
        <v>441</v>
      </c>
      <c r="N12" s="128" t="s">
        <v>442</v>
      </c>
      <c r="O12" s="128"/>
      <c r="P12" s="128"/>
      <c r="Q12" s="128"/>
      <c r="R12" s="128" t="s">
        <v>489</v>
      </c>
      <c r="S12" s="128" t="s">
        <v>444</v>
      </c>
      <c r="T12" s="128" t="s">
        <v>445</v>
      </c>
      <c r="U12" s="128"/>
      <c r="V12" s="128"/>
      <c r="W12" s="128" t="s">
        <v>439</v>
      </c>
      <c r="X12" s="128"/>
      <c r="Y12" s="128" t="s">
        <v>490</v>
      </c>
      <c r="Z12" s="128" t="s">
        <v>35</v>
      </c>
      <c r="AA12" s="128" t="s">
        <v>26</v>
      </c>
      <c r="AB12" s="128" t="s">
        <v>18</v>
      </c>
      <c r="AC12" s="128">
        <v>10509</v>
      </c>
      <c r="AD12" s="128" t="s">
        <v>446</v>
      </c>
      <c r="AE12" s="128">
        <v>2400582014</v>
      </c>
      <c r="AF12" s="128" t="s">
        <v>447</v>
      </c>
      <c r="AG12" s="128">
        <v>21</v>
      </c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  <c r="AR12" s="128"/>
      <c r="AS12" s="128"/>
      <c r="AT12" s="128"/>
      <c r="AU12" s="128"/>
      <c r="AV12" s="128"/>
      <c r="AW12" s="128">
        <v>86</v>
      </c>
      <c r="AX12" s="128"/>
      <c r="AY12" s="128" t="s">
        <v>439</v>
      </c>
      <c r="AZ12" s="128">
        <v>10</v>
      </c>
      <c r="BA12" s="128" t="s">
        <v>448</v>
      </c>
      <c r="BB12" s="128"/>
      <c r="BC12" s="128" t="s">
        <v>449</v>
      </c>
      <c r="BD12" s="128">
        <v>6</v>
      </c>
    </row>
    <row r="13" spans="1:56" s="18" customFormat="1" x14ac:dyDescent="0.2">
      <c r="A13" s="128">
        <v>23</v>
      </c>
      <c r="B13" s="128" t="s">
        <v>436</v>
      </c>
      <c r="C13" s="128" t="s">
        <v>437</v>
      </c>
      <c r="D13" s="128">
        <v>202</v>
      </c>
      <c r="E13" s="128" t="s">
        <v>438</v>
      </c>
      <c r="F13" s="128" t="s">
        <v>491</v>
      </c>
      <c r="G13" s="128"/>
      <c r="H13" s="128" t="s">
        <v>435</v>
      </c>
      <c r="I13" s="128">
        <v>1</v>
      </c>
      <c r="J13" s="128" t="s">
        <v>440</v>
      </c>
      <c r="K13" s="129">
        <v>20.41</v>
      </c>
      <c r="L13" s="130" t="s">
        <v>455</v>
      </c>
      <c r="M13" s="128" t="s">
        <v>441</v>
      </c>
      <c r="N13" s="128" t="s">
        <v>442</v>
      </c>
      <c r="O13" s="128"/>
      <c r="P13" s="128"/>
      <c r="Q13" s="128"/>
      <c r="R13" s="128" t="s">
        <v>492</v>
      </c>
      <c r="S13" s="128" t="s">
        <v>444</v>
      </c>
      <c r="T13" s="128" t="s">
        <v>445</v>
      </c>
      <c r="U13" s="128"/>
      <c r="V13" s="128"/>
      <c r="W13" s="128" t="s">
        <v>439</v>
      </c>
      <c r="X13" s="128"/>
      <c r="Y13" s="128" t="s">
        <v>493</v>
      </c>
      <c r="Z13" s="128" t="s">
        <v>36</v>
      </c>
      <c r="AA13" s="128" t="s">
        <v>37</v>
      </c>
      <c r="AB13" s="128" t="s">
        <v>18</v>
      </c>
      <c r="AC13" s="128">
        <v>10576</v>
      </c>
      <c r="AD13" s="128" t="s">
        <v>446</v>
      </c>
      <c r="AE13" s="128">
        <v>2408456675</v>
      </c>
      <c r="AF13" s="128" t="s">
        <v>447</v>
      </c>
      <c r="AG13" s="128">
        <v>21</v>
      </c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>
        <v>86</v>
      </c>
      <c r="AX13" s="128"/>
      <c r="AY13" s="128" t="s">
        <v>439</v>
      </c>
      <c r="AZ13" s="128">
        <v>10</v>
      </c>
      <c r="BA13" s="128" t="s">
        <v>448</v>
      </c>
      <c r="BB13" s="128"/>
      <c r="BC13" s="128" t="s">
        <v>449</v>
      </c>
      <c r="BD13" s="128">
        <v>6</v>
      </c>
    </row>
    <row r="14" spans="1:56" s="18" customFormat="1" x14ac:dyDescent="0.2">
      <c r="A14" s="128">
        <v>23</v>
      </c>
      <c r="B14" s="128" t="s">
        <v>436</v>
      </c>
      <c r="C14" s="128" t="s">
        <v>437</v>
      </c>
      <c r="D14" s="128">
        <v>202</v>
      </c>
      <c r="E14" s="128" t="s">
        <v>438</v>
      </c>
      <c r="F14" s="128" t="s">
        <v>495</v>
      </c>
      <c r="G14" s="128"/>
      <c r="H14" s="128" t="s">
        <v>435</v>
      </c>
      <c r="I14" s="128">
        <v>1</v>
      </c>
      <c r="J14" s="128" t="s">
        <v>440</v>
      </c>
      <c r="K14" s="129">
        <v>22.68</v>
      </c>
      <c r="L14" s="130" t="s">
        <v>498</v>
      </c>
      <c r="M14" s="128" t="s">
        <v>441</v>
      </c>
      <c r="N14" s="128" t="s">
        <v>442</v>
      </c>
      <c r="O14" s="128"/>
      <c r="P14" s="128"/>
      <c r="Q14" s="128"/>
      <c r="R14" s="128" t="s">
        <v>496</v>
      </c>
      <c r="S14" s="128" t="s">
        <v>444</v>
      </c>
      <c r="T14" s="128" t="s">
        <v>445</v>
      </c>
      <c r="U14" s="128"/>
      <c r="V14" s="128"/>
      <c r="W14" s="128" t="s">
        <v>439</v>
      </c>
      <c r="X14" s="128"/>
      <c r="Y14" s="128" t="s">
        <v>497</v>
      </c>
      <c r="Z14" s="128" t="s">
        <v>38</v>
      </c>
      <c r="AA14" s="128" t="s">
        <v>39</v>
      </c>
      <c r="AB14" s="128" t="s">
        <v>18</v>
      </c>
      <c r="AC14" s="128">
        <v>10549</v>
      </c>
      <c r="AD14" s="128" t="s">
        <v>446</v>
      </c>
      <c r="AE14" s="128">
        <v>2406328456</v>
      </c>
      <c r="AF14" s="128" t="s">
        <v>447</v>
      </c>
      <c r="AG14" s="128">
        <v>21</v>
      </c>
      <c r="AH14" s="128"/>
      <c r="AI14" s="128"/>
      <c r="AJ14" s="128"/>
      <c r="AK14" s="128"/>
      <c r="AL14" s="128"/>
      <c r="AM14" s="128"/>
      <c r="AN14" s="128"/>
      <c r="AO14" s="128"/>
      <c r="AP14" s="128"/>
      <c r="AQ14" s="128"/>
      <c r="AR14" s="128"/>
      <c r="AS14" s="128"/>
      <c r="AT14" s="128"/>
      <c r="AU14" s="128"/>
      <c r="AV14" s="128"/>
      <c r="AW14" s="128">
        <v>86</v>
      </c>
      <c r="AX14" s="128"/>
      <c r="AY14" s="128" t="s">
        <v>439</v>
      </c>
      <c r="AZ14" s="128">
        <v>11</v>
      </c>
      <c r="BA14" s="128" t="s">
        <v>448</v>
      </c>
      <c r="BB14" s="128"/>
      <c r="BC14" s="128" t="s">
        <v>449</v>
      </c>
      <c r="BD14" s="128">
        <v>7</v>
      </c>
    </row>
    <row r="15" spans="1:56" s="18" customFormat="1" ht="14.25" customHeight="1" x14ac:dyDescent="0.2">
      <c r="A15" s="128">
        <v>23</v>
      </c>
      <c r="B15" s="128" t="s">
        <v>436</v>
      </c>
      <c r="C15" s="128" t="s">
        <v>437</v>
      </c>
      <c r="D15" s="128">
        <v>202</v>
      </c>
      <c r="E15" s="128" t="s">
        <v>438</v>
      </c>
      <c r="F15" s="128" t="s">
        <v>499</v>
      </c>
      <c r="G15" s="128"/>
      <c r="H15" s="128" t="s">
        <v>435</v>
      </c>
      <c r="I15" s="128">
        <v>1</v>
      </c>
      <c r="J15" s="128" t="s">
        <v>440</v>
      </c>
      <c r="K15" s="129">
        <v>20.41</v>
      </c>
      <c r="L15" s="130" t="s">
        <v>502</v>
      </c>
      <c r="M15" s="128" t="s">
        <v>441</v>
      </c>
      <c r="N15" s="128" t="s">
        <v>442</v>
      </c>
      <c r="O15" s="128"/>
      <c r="P15" s="128"/>
      <c r="Q15" s="128"/>
      <c r="R15" s="128" t="s">
        <v>500</v>
      </c>
      <c r="S15" s="128" t="s">
        <v>444</v>
      </c>
      <c r="T15" s="128" t="s">
        <v>445</v>
      </c>
      <c r="U15" s="128"/>
      <c r="V15" s="128"/>
      <c r="W15" s="128" t="s">
        <v>439</v>
      </c>
      <c r="X15" s="128"/>
      <c r="Y15" s="128" t="s">
        <v>501</v>
      </c>
      <c r="Z15" s="128" t="s">
        <v>40</v>
      </c>
      <c r="AA15" s="128" t="s">
        <v>39</v>
      </c>
      <c r="AB15" s="128" t="s">
        <v>18</v>
      </c>
      <c r="AC15" s="128">
        <v>10549</v>
      </c>
      <c r="AD15" s="128" t="s">
        <v>446</v>
      </c>
      <c r="AE15" s="128">
        <v>2404796002</v>
      </c>
      <c r="AF15" s="128" t="s">
        <v>447</v>
      </c>
      <c r="AG15" s="128">
        <v>21</v>
      </c>
      <c r="AH15" s="128"/>
      <c r="AI15" s="128"/>
      <c r="AJ15" s="128"/>
      <c r="AK15" s="128"/>
      <c r="AL15" s="128"/>
      <c r="AM15" s="128"/>
      <c r="AN15" s="128"/>
      <c r="AO15" s="128"/>
      <c r="AP15" s="128"/>
      <c r="AQ15" s="128"/>
      <c r="AR15" s="128"/>
      <c r="AS15" s="128"/>
      <c r="AT15" s="128"/>
      <c r="AU15" s="128"/>
      <c r="AV15" s="128"/>
      <c r="AW15" s="128">
        <v>86</v>
      </c>
      <c r="AX15" s="128"/>
      <c r="AY15" s="128" t="s">
        <v>439</v>
      </c>
      <c r="AZ15" s="128">
        <v>10</v>
      </c>
      <c r="BA15" s="128" t="s">
        <v>448</v>
      </c>
      <c r="BB15" s="128"/>
      <c r="BC15" s="128" t="s">
        <v>449</v>
      </c>
      <c r="BD15" s="128">
        <v>7</v>
      </c>
    </row>
    <row r="16" spans="1:56" s="18" customFormat="1" ht="13.5" customHeight="1" x14ac:dyDescent="0.2">
      <c r="A16" s="128">
        <v>23</v>
      </c>
      <c r="B16" s="128" t="s">
        <v>436</v>
      </c>
      <c r="C16" s="128" t="s">
        <v>437</v>
      </c>
      <c r="D16" s="128">
        <v>202</v>
      </c>
      <c r="E16" s="128" t="s">
        <v>438</v>
      </c>
      <c r="F16" s="128" t="s">
        <v>503</v>
      </c>
      <c r="G16" s="128"/>
      <c r="H16" s="128" t="s">
        <v>435</v>
      </c>
      <c r="I16" s="128">
        <v>1</v>
      </c>
      <c r="J16" s="128" t="s">
        <v>440</v>
      </c>
      <c r="K16" s="129">
        <v>20.41</v>
      </c>
      <c r="L16" s="130" t="s">
        <v>455</v>
      </c>
      <c r="M16" s="128" t="s">
        <v>441</v>
      </c>
      <c r="N16" s="128" t="s">
        <v>442</v>
      </c>
      <c r="O16" s="128"/>
      <c r="P16" s="128"/>
      <c r="Q16" s="128"/>
      <c r="R16" s="128" t="s">
        <v>504</v>
      </c>
      <c r="S16" s="128" t="s">
        <v>444</v>
      </c>
      <c r="T16" s="128" t="s">
        <v>445</v>
      </c>
      <c r="U16" s="128"/>
      <c r="V16" s="128"/>
      <c r="W16" s="128" t="s">
        <v>439</v>
      </c>
      <c r="X16" s="128"/>
      <c r="Y16" s="128" t="s">
        <v>505</v>
      </c>
      <c r="Z16" s="128" t="s">
        <v>41</v>
      </c>
      <c r="AA16" s="128" t="s">
        <v>39</v>
      </c>
      <c r="AB16" s="128" t="s">
        <v>18</v>
      </c>
      <c r="AC16" s="128">
        <v>10549</v>
      </c>
      <c r="AD16" s="128" t="s">
        <v>446</v>
      </c>
      <c r="AE16" s="128">
        <v>2405144798</v>
      </c>
      <c r="AF16" s="128" t="s">
        <v>447</v>
      </c>
      <c r="AG16" s="128">
        <v>21</v>
      </c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>
        <v>86</v>
      </c>
      <c r="AX16" s="128"/>
      <c r="AY16" s="128" t="s">
        <v>439</v>
      </c>
      <c r="AZ16" s="128">
        <v>10</v>
      </c>
      <c r="BA16" s="128" t="s">
        <v>448</v>
      </c>
      <c r="BB16" s="128"/>
      <c r="BC16" s="128" t="s">
        <v>449</v>
      </c>
      <c r="BD16" s="128">
        <v>8</v>
      </c>
    </row>
    <row r="17" spans="1:56" s="18" customFormat="1" x14ac:dyDescent="0.2">
      <c r="A17" s="128">
        <v>23</v>
      </c>
      <c r="B17" s="128" t="s">
        <v>436</v>
      </c>
      <c r="C17" s="128" t="s">
        <v>437</v>
      </c>
      <c r="D17" s="128">
        <v>202</v>
      </c>
      <c r="E17" s="128" t="s">
        <v>438</v>
      </c>
      <c r="F17" s="128" t="s">
        <v>506</v>
      </c>
      <c r="G17" s="128"/>
      <c r="H17" s="128" t="s">
        <v>435</v>
      </c>
      <c r="I17" s="128">
        <v>1</v>
      </c>
      <c r="J17" s="128" t="s">
        <v>440</v>
      </c>
      <c r="K17" s="129">
        <v>13.61</v>
      </c>
      <c r="L17" s="130" t="s">
        <v>450</v>
      </c>
      <c r="M17" s="128" t="s">
        <v>441</v>
      </c>
      <c r="N17" s="128" t="s">
        <v>442</v>
      </c>
      <c r="O17" s="128"/>
      <c r="P17" s="128"/>
      <c r="Q17" s="128"/>
      <c r="R17" s="128" t="s">
        <v>507</v>
      </c>
      <c r="S17" s="128" t="s">
        <v>444</v>
      </c>
      <c r="T17" s="128" t="s">
        <v>445</v>
      </c>
      <c r="U17" s="128"/>
      <c r="V17" s="128"/>
      <c r="W17" s="128" t="s">
        <v>439</v>
      </c>
      <c r="X17" s="128"/>
      <c r="Y17" s="128" t="s">
        <v>508</v>
      </c>
      <c r="Z17" s="128" t="s">
        <v>42</v>
      </c>
      <c r="AA17" s="128" t="s">
        <v>28</v>
      </c>
      <c r="AB17" s="128" t="s">
        <v>18</v>
      </c>
      <c r="AC17" s="128">
        <v>10549</v>
      </c>
      <c r="AD17" s="128" t="s">
        <v>446</v>
      </c>
      <c r="AE17" s="128">
        <v>2401623354</v>
      </c>
      <c r="AF17" s="128" t="s">
        <v>447</v>
      </c>
      <c r="AG17" s="128">
        <v>21</v>
      </c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  <c r="AR17" s="128"/>
      <c r="AS17" s="128"/>
      <c r="AT17" s="128"/>
      <c r="AU17" s="128"/>
      <c r="AV17" s="128"/>
      <c r="AW17" s="128">
        <v>86</v>
      </c>
      <c r="AX17" s="128"/>
      <c r="AY17" s="128" t="s">
        <v>439</v>
      </c>
      <c r="AZ17" s="128">
        <v>9</v>
      </c>
      <c r="BA17" s="128" t="s">
        <v>448</v>
      </c>
      <c r="BB17" s="128"/>
      <c r="BC17" s="128" t="s">
        <v>449</v>
      </c>
      <c r="BD17" s="128">
        <v>8</v>
      </c>
    </row>
    <row r="18" spans="1:56" s="18" customFormat="1" x14ac:dyDescent="0.2">
      <c r="A18" s="128">
        <v>23</v>
      </c>
      <c r="B18" s="128" t="s">
        <v>436</v>
      </c>
      <c r="C18" s="128" t="s">
        <v>437</v>
      </c>
      <c r="D18" s="128">
        <v>202</v>
      </c>
      <c r="E18" s="128" t="s">
        <v>438</v>
      </c>
      <c r="F18" s="128" t="s">
        <v>510</v>
      </c>
      <c r="G18" s="128"/>
      <c r="H18" s="128" t="s">
        <v>435</v>
      </c>
      <c r="I18" s="128">
        <v>1</v>
      </c>
      <c r="J18" s="128" t="s">
        <v>440</v>
      </c>
      <c r="K18" s="129">
        <v>18.14</v>
      </c>
      <c r="L18" s="130" t="s">
        <v>450</v>
      </c>
      <c r="M18" s="128" t="s">
        <v>441</v>
      </c>
      <c r="N18" s="128" t="s">
        <v>442</v>
      </c>
      <c r="O18" s="128"/>
      <c r="P18" s="128"/>
      <c r="Q18" s="128"/>
      <c r="R18" s="128" t="s">
        <v>511</v>
      </c>
      <c r="S18" s="128" t="s">
        <v>444</v>
      </c>
      <c r="T18" s="128" t="s">
        <v>445</v>
      </c>
      <c r="U18" s="128"/>
      <c r="V18" s="128"/>
      <c r="W18" s="128" t="s">
        <v>439</v>
      </c>
      <c r="X18" s="128"/>
      <c r="Y18" s="128" t="s">
        <v>512</v>
      </c>
      <c r="Z18" s="128" t="s">
        <v>43</v>
      </c>
      <c r="AA18" s="128" t="s">
        <v>28</v>
      </c>
      <c r="AB18" s="128" t="s">
        <v>18</v>
      </c>
      <c r="AC18" s="128">
        <v>10549</v>
      </c>
      <c r="AD18" s="128" t="s">
        <v>446</v>
      </c>
      <c r="AE18" s="128">
        <v>2405649887</v>
      </c>
      <c r="AF18" s="128" t="s">
        <v>447</v>
      </c>
      <c r="AG18" s="128">
        <v>21</v>
      </c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  <c r="AR18" s="128"/>
      <c r="AS18" s="128"/>
      <c r="AT18" s="128"/>
      <c r="AU18" s="128"/>
      <c r="AV18" s="128"/>
      <c r="AW18" s="128">
        <v>86</v>
      </c>
      <c r="AX18" s="128"/>
      <c r="AY18" s="128" t="s">
        <v>439</v>
      </c>
      <c r="AZ18" s="128">
        <v>10</v>
      </c>
      <c r="BA18" s="128" t="s">
        <v>448</v>
      </c>
      <c r="BB18" s="128"/>
      <c r="BC18" s="128" t="s">
        <v>449</v>
      </c>
      <c r="BD18" s="128">
        <v>9</v>
      </c>
    </row>
    <row r="19" spans="1:56" s="18" customFormat="1" x14ac:dyDescent="0.2">
      <c r="A19" s="128">
        <v>23</v>
      </c>
      <c r="B19" s="128" t="s">
        <v>436</v>
      </c>
      <c r="C19" s="128" t="s">
        <v>437</v>
      </c>
      <c r="D19" s="128">
        <v>202</v>
      </c>
      <c r="E19" s="128" t="s">
        <v>438</v>
      </c>
      <c r="F19" s="128" t="s">
        <v>659</v>
      </c>
      <c r="G19" s="128"/>
      <c r="H19" s="128" t="s">
        <v>435</v>
      </c>
      <c r="I19" s="128">
        <v>1</v>
      </c>
      <c r="J19" s="128" t="s">
        <v>440</v>
      </c>
      <c r="K19" s="129">
        <v>11.34</v>
      </c>
      <c r="L19" s="130" t="s">
        <v>487</v>
      </c>
      <c r="M19" s="128" t="s">
        <v>441</v>
      </c>
      <c r="N19" s="128" t="s">
        <v>442</v>
      </c>
      <c r="O19" s="128"/>
      <c r="P19" s="128"/>
      <c r="Q19" s="128"/>
      <c r="R19" s="128" t="s">
        <v>660</v>
      </c>
      <c r="S19" s="128" t="s">
        <v>444</v>
      </c>
      <c r="T19" s="128" t="s">
        <v>445</v>
      </c>
      <c r="U19" s="128"/>
      <c r="V19" s="128"/>
      <c r="W19" s="128" t="s">
        <v>439</v>
      </c>
      <c r="X19" s="128"/>
      <c r="Y19" s="128" t="s">
        <v>661</v>
      </c>
      <c r="Z19" s="128" t="s">
        <v>95</v>
      </c>
      <c r="AA19" s="128" t="s">
        <v>28</v>
      </c>
      <c r="AB19" s="128" t="s">
        <v>18</v>
      </c>
      <c r="AC19" s="128">
        <v>10549</v>
      </c>
      <c r="AD19" s="128" t="s">
        <v>446</v>
      </c>
      <c r="AE19" s="128">
        <v>2400589451</v>
      </c>
      <c r="AF19" s="128" t="s">
        <v>447</v>
      </c>
      <c r="AG19" s="128">
        <v>21</v>
      </c>
      <c r="AH19" s="128"/>
      <c r="AI19" s="128"/>
      <c r="AJ19" s="128"/>
      <c r="AK19" s="128"/>
      <c r="AL19" s="128"/>
      <c r="AM19" s="128"/>
      <c r="AN19" s="128"/>
      <c r="AO19" s="128"/>
      <c r="AP19" s="128"/>
      <c r="AQ19" s="128"/>
      <c r="AR19" s="128"/>
      <c r="AS19" s="128"/>
      <c r="AT19" s="128"/>
      <c r="AU19" s="128"/>
      <c r="AV19" s="128"/>
      <c r="AW19" s="128">
        <v>86</v>
      </c>
      <c r="AX19" s="128"/>
      <c r="AY19" s="128" t="s">
        <v>439</v>
      </c>
      <c r="AZ19" s="128">
        <v>8</v>
      </c>
      <c r="BA19" s="128" t="s">
        <v>448</v>
      </c>
      <c r="BB19" s="128"/>
      <c r="BC19" s="128" t="s">
        <v>449</v>
      </c>
      <c r="BD19" s="128">
        <v>9</v>
      </c>
    </row>
    <row r="20" spans="1:56" s="18" customFormat="1" ht="30" x14ac:dyDescent="0.2">
      <c r="A20" s="128">
        <v>23</v>
      </c>
      <c r="B20" s="128" t="s">
        <v>436</v>
      </c>
      <c r="C20" s="128" t="s">
        <v>437</v>
      </c>
      <c r="D20" s="128">
        <v>202</v>
      </c>
      <c r="E20" s="128" t="s">
        <v>438</v>
      </c>
      <c r="F20" s="128" t="s">
        <v>513</v>
      </c>
      <c r="G20" s="128"/>
      <c r="H20" s="128" t="s">
        <v>435</v>
      </c>
      <c r="I20" s="128">
        <v>1</v>
      </c>
      <c r="J20" s="128" t="s">
        <v>440</v>
      </c>
      <c r="K20" s="129">
        <v>24.95</v>
      </c>
      <c r="L20" s="130" t="s">
        <v>516</v>
      </c>
      <c r="M20" s="128" t="s">
        <v>441</v>
      </c>
      <c r="N20" s="128" t="s">
        <v>442</v>
      </c>
      <c r="O20" s="128"/>
      <c r="P20" s="128"/>
      <c r="Q20" s="128"/>
      <c r="R20" s="128" t="s">
        <v>514</v>
      </c>
      <c r="S20" s="128" t="s">
        <v>444</v>
      </c>
      <c r="T20" s="128" t="s">
        <v>445</v>
      </c>
      <c r="U20" s="128"/>
      <c r="V20" s="128"/>
      <c r="W20" s="128" t="s">
        <v>439</v>
      </c>
      <c r="X20" s="128"/>
      <c r="Y20" s="128" t="s">
        <v>515</v>
      </c>
      <c r="Z20" s="128" t="s">
        <v>44</v>
      </c>
      <c r="AA20" s="128" t="s">
        <v>28</v>
      </c>
      <c r="AB20" s="128" t="s">
        <v>18</v>
      </c>
      <c r="AC20" s="128">
        <v>10509</v>
      </c>
      <c r="AD20" s="128" t="s">
        <v>446</v>
      </c>
      <c r="AE20" s="128">
        <v>2401146845</v>
      </c>
      <c r="AF20" s="128" t="s">
        <v>447</v>
      </c>
      <c r="AG20" s="128">
        <v>21</v>
      </c>
      <c r="AH20" s="128"/>
      <c r="AI20" s="128"/>
      <c r="AJ20" s="128"/>
      <c r="AK20" s="128"/>
      <c r="AL20" s="128"/>
      <c r="AM20" s="128"/>
      <c r="AN20" s="128"/>
      <c r="AO20" s="128"/>
      <c r="AP20" s="128"/>
      <c r="AQ20" s="128"/>
      <c r="AR20" s="128"/>
      <c r="AS20" s="128"/>
      <c r="AT20" s="128"/>
      <c r="AU20" s="128"/>
      <c r="AV20" s="128"/>
      <c r="AW20" s="128">
        <v>86</v>
      </c>
      <c r="AX20" s="128"/>
      <c r="AY20" s="128" t="s">
        <v>439</v>
      </c>
      <c r="AZ20" s="128">
        <v>11</v>
      </c>
      <c r="BA20" s="128" t="s">
        <v>448</v>
      </c>
      <c r="BB20" s="128"/>
      <c r="BC20" s="128" t="s">
        <v>449</v>
      </c>
      <c r="BD20" s="128">
        <v>10</v>
      </c>
    </row>
    <row r="21" spans="1:56" s="18" customFormat="1" ht="15.75" customHeight="1" x14ac:dyDescent="0.2">
      <c r="A21" s="128">
        <v>23</v>
      </c>
      <c r="B21" s="128" t="s">
        <v>436</v>
      </c>
      <c r="C21" s="128" t="s">
        <v>437</v>
      </c>
      <c r="D21" s="128">
        <v>202</v>
      </c>
      <c r="E21" s="128" t="s">
        <v>438</v>
      </c>
      <c r="F21" s="128" t="s">
        <v>517</v>
      </c>
      <c r="G21" s="128"/>
      <c r="H21" s="128" t="s">
        <v>435</v>
      </c>
      <c r="I21" s="128">
        <v>1</v>
      </c>
      <c r="J21" s="128" t="s">
        <v>440</v>
      </c>
      <c r="K21" s="129">
        <v>20.41</v>
      </c>
      <c r="L21" s="130" t="s">
        <v>502</v>
      </c>
      <c r="M21" s="128" t="s">
        <v>441</v>
      </c>
      <c r="N21" s="128" t="s">
        <v>442</v>
      </c>
      <c r="O21" s="128"/>
      <c r="P21" s="128"/>
      <c r="Q21" s="128"/>
      <c r="R21" s="128" t="s">
        <v>518</v>
      </c>
      <c r="S21" s="128" t="s">
        <v>444</v>
      </c>
      <c r="T21" s="128" t="s">
        <v>445</v>
      </c>
      <c r="U21" s="128"/>
      <c r="V21" s="128"/>
      <c r="W21" s="128" t="s">
        <v>439</v>
      </c>
      <c r="X21" s="128"/>
      <c r="Y21" s="128" t="s">
        <v>519</v>
      </c>
      <c r="Z21" s="128" t="s">
        <v>45</v>
      </c>
      <c r="AA21" s="128" t="s">
        <v>28</v>
      </c>
      <c r="AB21" s="128" t="s">
        <v>18</v>
      </c>
      <c r="AC21" s="128">
        <v>10509</v>
      </c>
      <c r="AD21" s="128" t="s">
        <v>446</v>
      </c>
      <c r="AE21" s="128">
        <v>2409156625</v>
      </c>
      <c r="AF21" s="128" t="s">
        <v>447</v>
      </c>
      <c r="AG21" s="128">
        <v>21</v>
      </c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  <c r="AR21" s="128"/>
      <c r="AS21" s="128"/>
      <c r="AT21" s="128"/>
      <c r="AU21" s="128"/>
      <c r="AV21" s="128"/>
      <c r="AW21" s="128">
        <v>86</v>
      </c>
      <c r="AX21" s="128"/>
      <c r="AY21" s="128" t="s">
        <v>439</v>
      </c>
      <c r="AZ21" s="128">
        <v>10</v>
      </c>
      <c r="BA21" s="128" t="s">
        <v>448</v>
      </c>
      <c r="BB21" s="128"/>
      <c r="BC21" s="128" t="s">
        <v>449</v>
      </c>
      <c r="BD21" s="128">
        <v>11</v>
      </c>
    </row>
    <row r="22" spans="1:56" s="18" customFormat="1" ht="15.75" customHeight="1" x14ac:dyDescent="0.2">
      <c r="A22" s="128">
        <v>23</v>
      </c>
      <c r="B22" s="128" t="s">
        <v>436</v>
      </c>
      <c r="C22" s="128" t="s">
        <v>437</v>
      </c>
      <c r="D22" s="128">
        <v>202</v>
      </c>
      <c r="E22" s="128" t="s">
        <v>438</v>
      </c>
      <c r="F22" s="128" t="s">
        <v>520</v>
      </c>
      <c r="G22" s="128"/>
      <c r="H22" s="128" t="s">
        <v>435</v>
      </c>
      <c r="I22" s="128">
        <v>1</v>
      </c>
      <c r="J22" s="128" t="s">
        <v>440</v>
      </c>
      <c r="K22" s="129">
        <v>15.88</v>
      </c>
      <c r="L22" s="130" t="s">
        <v>450</v>
      </c>
      <c r="M22" s="128" t="s">
        <v>441</v>
      </c>
      <c r="N22" s="128" t="s">
        <v>442</v>
      </c>
      <c r="O22" s="128"/>
      <c r="P22" s="128"/>
      <c r="Q22" s="128"/>
      <c r="R22" s="128" t="s">
        <v>521</v>
      </c>
      <c r="S22" s="128" t="s">
        <v>444</v>
      </c>
      <c r="T22" s="128" t="s">
        <v>445</v>
      </c>
      <c r="U22" s="128"/>
      <c r="V22" s="128"/>
      <c r="W22" s="128" t="s">
        <v>439</v>
      </c>
      <c r="X22" s="128"/>
      <c r="Y22" s="128" t="s">
        <v>522</v>
      </c>
      <c r="Z22" s="128" t="s">
        <v>46</v>
      </c>
      <c r="AA22" s="128" t="s">
        <v>28</v>
      </c>
      <c r="AB22" s="128" t="s">
        <v>18</v>
      </c>
      <c r="AC22" s="128">
        <v>10549</v>
      </c>
      <c r="AD22" s="128" t="s">
        <v>446</v>
      </c>
      <c r="AE22" s="128">
        <v>2406505165</v>
      </c>
      <c r="AF22" s="128" t="s">
        <v>447</v>
      </c>
      <c r="AG22" s="128">
        <v>21</v>
      </c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  <c r="AR22" s="128"/>
      <c r="AS22" s="128"/>
      <c r="AT22" s="128"/>
      <c r="AU22" s="128"/>
      <c r="AV22" s="128"/>
      <c r="AW22" s="128">
        <v>86</v>
      </c>
      <c r="AX22" s="128"/>
      <c r="AY22" s="128" t="s">
        <v>439</v>
      </c>
      <c r="AZ22" s="128">
        <v>9</v>
      </c>
      <c r="BA22" s="128" t="s">
        <v>448</v>
      </c>
      <c r="BB22" s="128"/>
      <c r="BC22" s="128" t="s">
        <v>449</v>
      </c>
      <c r="BD22" s="128">
        <v>11</v>
      </c>
    </row>
    <row r="23" spans="1:56" s="18" customFormat="1" ht="30" x14ac:dyDescent="0.2">
      <c r="A23" s="128">
        <v>23</v>
      </c>
      <c r="B23" s="128" t="s">
        <v>436</v>
      </c>
      <c r="C23" s="128" t="s">
        <v>437</v>
      </c>
      <c r="D23" s="128">
        <v>202</v>
      </c>
      <c r="E23" s="128" t="s">
        <v>438</v>
      </c>
      <c r="F23" s="128" t="s">
        <v>523</v>
      </c>
      <c r="G23" s="128"/>
      <c r="H23" s="128" t="s">
        <v>435</v>
      </c>
      <c r="I23" s="128">
        <v>1</v>
      </c>
      <c r="J23" s="128" t="s">
        <v>440</v>
      </c>
      <c r="K23" s="129">
        <v>24.95</v>
      </c>
      <c r="L23" s="130" t="s">
        <v>526</v>
      </c>
      <c r="M23" s="128" t="s">
        <v>441</v>
      </c>
      <c r="N23" s="128" t="s">
        <v>442</v>
      </c>
      <c r="O23" s="128"/>
      <c r="P23" s="128"/>
      <c r="Q23" s="128"/>
      <c r="R23" s="128" t="s">
        <v>525</v>
      </c>
      <c r="S23" s="128" t="s">
        <v>444</v>
      </c>
      <c r="T23" s="128" t="s">
        <v>445</v>
      </c>
      <c r="U23" s="128"/>
      <c r="V23" s="128"/>
      <c r="W23" s="128" t="s">
        <v>439</v>
      </c>
      <c r="X23" s="128"/>
      <c r="Y23" s="128" t="s">
        <v>524</v>
      </c>
      <c r="Z23" s="128" t="s">
        <v>47</v>
      </c>
      <c r="AA23" s="128" t="s">
        <v>28</v>
      </c>
      <c r="AB23" s="128" t="s">
        <v>18</v>
      </c>
      <c r="AC23" s="128">
        <v>10549</v>
      </c>
      <c r="AD23" s="128" t="s">
        <v>446</v>
      </c>
      <c r="AE23" s="128">
        <v>2406213305</v>
      </c>
      <c r="AF23" s="128" t="s">
        <v>447</v>
      </c>
      <c r="AG23" s="128">
        <v>21</v>
      </c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  <c r="AR23" s="128"/>
      <c r="AS23" s="128"/>
      <c r="AT23" s="128"/>
      <c r="AU23" s="128"/>
      <c r="AV23" s="128"/>
      <c r="AW23" s="128">
        <v>86</v>
      </c>
      <c r="AX23" s="128"/>
      <c r="AY23" s="128" t="s">
        <v>439</v>
      </c>
      <c r="AZ23" s="128">
        <v>11</v>
      </c>
      <c r="BA23" s="128" t="s">
        <v>448</v>
      </c>
      <c r="BB23" s="128"/>
      <c r="BC23" s="128" t="s">
        <v>449</v>
      </c>
      <c r="BD23" s="128">
        <v>12</v>
      </c>
    </row>
    <row r="24" spans="1:56" s="18" customFormat="1" x14ac:dyDescent="0.2">
      <c r="A24" s="128">
        <v>23</v>
      </c>
      <c r="B24" s="128" t="s">
        <v>436</v>
      </c>
      <c r="C24" s="128" t="s">
        <v>437</v>
      </c>
      <c r="D24" s="128">
        <v>202</v>
      </c>
      <c r="E24" s="128" t="s">
        <v>438</v>
      </c>
      <c r="F24" s="128" t="s">
        <v>527</v>
      </c>
      <c r="G24" s="128"/>
      <c r="H24" s="128" t="s">
        <v>435</v>
      </c>
      <c r="I24" s="128">
        <v>1</v>
      </c>
      <c r="J24" s="128" t="s">
        <v>440</v>
      </c>
      <c r="K24" s="129">
        <v>20.41</v>
      </c>
      <c r="L24" s="130" t="s">
        <v>487</v>
      </c>
      <c r="M24" s="128" t="s">
        <v>441</v>
      </c>
      <c r="N24" s="128" t="s">
        <v>442</v>
      </c>
      <c r="O24" s="128"/>
      <c r="P24" s="128"/>
      <c r="Q24" s="128"/>
      <c r="R24" s="128" t="s">
        <v>528</v>
      </c>
      <c r="S24" s="128" t="s">
        <v>444</v>
      </c>
      <c r="T24" s="128" t="s">
        <v>445</v>
      </c>
      <c r="U24" s="128"/>
      <c r="V24" s="128"/>
      <c r="W24" s="128" t="s">
        <v>439</v>
      </c>
      <c r="X24" s="128"/>
      <c r="Y24" s="128" t="s">
        <v>529</v>
      </c>
      <c r="Z24" s="128" t="s">
        <v>48</v>
      </c>
      <c r="AA24" s="128" t="s">
        <v>28</v>
      </c>
      <c r="AB24" s="128" t="s">
        <v>18</v>
      </c>
      <c r="AC24" s="128">
        <v>10549</v>
      </c>
      <c r="AD24" s="128" t="s">
        <v>446</v>
      </c>
      <c r="AE24" s="128">
        <v>2409856642</v>
      </c>
      <c r="AF24" s="128" t="s">
        <v>447</v>
      </c>
      <c r="AG24" s="128">
        <v>21</v>
      </c>
      <c r="AH24" s="128"/>
      <c r="AI24" s="128"/>
      <c r="AJ24" s="128"/>
      <c r="AK24" s="128"/>
      <c r="AL24" s="128"/>
      <c r="AM24" s="128"/>
      <c r="AN24" s="128"/>
      <c r="AO24" s="128"/>
      <c r="AP24" s="128"/>
      <c r="AQ24" s="128"/>
      <c r="AR24" s="128"/>
      <c r="AS24" s="128"/>
      <c r="AT24" s="128"/>
      <c r="AU24" s="128"/>
      <c r="AV24" s="128"/>
      <c r="AW24" s="128">
        <v>86</v>
      </c>
      <c r="AX24" s="128"/>
      <c r="AY24" s="128" t="s">
        <v>439</v>
      </c>
      <c r="AZ24" s="128">
        <v>10</v>
      </c>
      <c r="BA24" s="128" t="s">
        <v>448</v>
      </c>
      <c r="BB24" s="128"/>
      <c r="BC24" s="128" t="s">
        <v>449</v>
      </c>
      <c r="BD24" s="128">
        <v>12</v>
      </c>
    </row>
    <row r="25" spans="1:56" s="18" customFormat="1" ht="15.75" customHeight="1" x14ac:dyDescent="0.2">
      <c r="A25" s="128">
        <v>23</v>
      </c>
      <c r="B25" s="128" t="s">
        <v>436</v>
      </c>
      <c r="C25" s="128" t="s">
        <v>437</v>
      </c>
      <c r="D25" s="128">
        <v>202</v>
      </c>
      <c r="E25" s="128" t="s">
        <v>438</v>
      </c>
      <c r="F25" s="128" t="s">
        <v>530</v>
      </c>
      <c r="G25" s="128"/>
      <c r="H25" s="128" t="s">
        <v>435</v>
      </c>
      <c r="I25" s="128">
        <v>1</v>
      </c>
      <c r="J25" s="128" t="s">
        <v>440</v>
      </c>
      <c r="K25" s="129">
        <v>20.41</v>
      </c>
      <c r="L25" s="130" t="s">
        <v>533</v>
      </c>
      <c r="M25" s="128" t="s">
        <v>441</v>
      </c>
      <c r="N25" s="128" t="s">
        <v>442</v>
      </c>
      <c r="O25" s="128"/>
      <c r="P25" s="128"/>
      <c r="Q25" s="128"/>
      <c r="R25" s="128" t="s">
        <v>531</v>
      </c>
      <c r="S25" s="128" t="s">
        <v>444</v>
      </c>
      <c r="T25" s="128" t="s">
        <v>445</v>
      </c>
      <c r="U25" s="128"/>
      <c r="V25" s="128"/>
      <c r="W25" s="128" t="s">
        <v>439</v>
      </c>
      <c r="X25" s="128"/>
      <c r="Y25" s="128" t="s">
        <v>532</v>
      </c>
      <c r="Z25" s="128" t="s">
        <v>49</v>
      </c>
      <c r="AA25" s="128" t="s">
        <v>50</v>
      </c>
      <c r="AB25" s="128" t="s">
        <v>18</v>
      </c>
      <c r="AC25" s="128">
        <v>10507</v>
      </c>
      <c r="AD25" s="128" t="s">
        <v>446</v>
      </c>
      <c r="AE25" s="128">
        <v>2401540175</v>
      </c>
      <c r="AF25" s="128" t="s">
        <v>447</v>
      </c>
      <c r="AG25" s="128">
        <v>21</v>
      </c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  <c r="AR25" s="128"/>
      <c r="AS25" s="128"/>
      <c r="AT25" s="128"/>
      <c r="AU25" s="128"/>
      <c r="AV25" s="128"/>
      <c r="AW25" s="128">
        <v>86</v>
      </c>
      <c r="AX25" s="128"/>
      <c r="AY25" s="128" t="s">
        <v>439</v>
      </c>
      <c r="AZ25" s="128">
        <v>10</v>
      </c>
      <c r="BA25" s="128" t="s">
        <v>448</v>
      </c>
      <c r="BB25" s="128"/>
      <c r="BC25" s="128" t="s">
        <v>449</v>
      </c>
      <c r="BD25" s="128">
        <v>13</v>
      </c>
    </row>
    <row r="26" spans="1:56" s="18" customFormat="1" x14ac:dyDescent="0.2">
      <c r="A26" s="128">
        <v>23</v>
      </c>
      <c r="B26" s="128" t="s">
        <v>436</v>
      </c>
      <c r="C26" s="128" t="s">
        <v>437</v>
      </c>
      <c r="D26" s="128">
        <v>202</v>
      </c>
      <c r="E26" s="128" t="s">
        <v>438</v>
      </c>
      <c r="F26" s="128" t="s">
        <v>534</v>
      </c>
      <c r="G26" s="128"/>
      <c r="H26" s="128" t="s">
        <v>435</v>
      </c>
      <c r="I26" s="128">
        <v>1</v>
      </c>
      <c r="J26" s="128" t="s">
        <v>440</v>
      </c>
      <c r="K26" s="129">
        <v>20.41</v>
      </c>
      <c r="L26" s="130" t="s">
        <v>537</v>
      </c>
      <c r="M26" s="128" t="s">
        <v>441</v>
      </c>
      <c r="N26" s="128" t="s">
        <v>442</v>
      </c>
      <c r="O26" s="128"/>
      <c r="P26" s="128"/>
      <c r="Q26" s="128"/>
      <c r="R26" s="128" t="s">
        <v>535</v>
      </c>
      <c r="S26" s="128" t="s">
        <v>444</v>
      </c>
      <c r="T26" s="128" t="s">
        <v>445</v>
      </c>
      <c r="U26" s="128"/>
      <c r="V26" s="128"/>
      <c r="W26" s="128" t="s">
        <v>439</v>
      </c>
      <c r="X26" s="128"/>
      <c r="Y26" s="128" t="s">
        <v>536</v>
      </c>
      <c r="Z26" s="128" t="s">
        <v>51</v>
      </c>
      <c r="AA26" s="128" t="s">
        <v>28</v>
      </c>
      <c r="AB26" s="128" t="s">
        <v>18</v>
      </c>
      <c r="AC26" s="128">
        <v>10549</v>
      </c>
      <c r="AD26" s="128" t="s">
        <v>446</v>
      </c>
      <c r="AE26" s="128">
        <v>2402153745</v>
      </c>
      <c r="AF26" s="128" t="s">
        <v>447</v>
      </c>
      <c r="AG26" s="128">
        <v>21</v>
      </c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  <c r="AR26" s="128"/>
      <c r="AS26" s="128"/>
      <c r="AT26" s="128"/>
      <c r="AU26" s="128"/>
      <c r="AV26" s="128"/>
      <c r="AW26" s="128">
        <v>86</v>
      </c>
      <c r="AX26" s="128"/>
      <c r="AY26" s="128" t="s">
        <v>439</v>
      </c>
      <c r="AZ26" s="128">
        <v>10</v>
      </c>
      <c r="BA26" s="128" t="s">
        <v>448</v>
      </c>
      <c r="BB26" s="128"/>
      <c r="BC26" s="128" t="s">
        <v>449</v>
      </c>
      <c r="BD26" s="128">
        <v>13</v>
      </c>
    </row>
    <row r="27" spans="1:56" s="18" customFormat="1" ht="15.75" customHeight="1" x14ac:dyDescent="0.2">
      <c r="A27" s="128">
        <v>23</v>
      </c>
      <c r="B27" s="128" t="s">
        <v>436</v>
      </c>
      <c r="C27" s="128" t="s">
        <v>437</v>
      </c>
      <c r="D27" s="128">
        <v>202</v>
      </c>
      <c r="E27" s="128" t="s">
        <v>438</v>
      </c>
      <c r="F27" s="128" t="s">
        <v>538</v>
      </c>
      <c r="G27" s="128"/>
      <c r="H27" s="128" t="s">
        <v>435</v>
      </c>
      <c r="I27" s="128">
        <v>1</v>
      </c>
      <c r="J27" s="128" t="s">
        <v>440</v>
      </c>
      <c r="K27" s="129">
        <v>20.41</v>
      </c>
      <c r="L27" s="130" t="s">
        <v>541</v>
      </c>
      <c r="M27" s="128" t="s">
        <v>441</v>
      </c>
      <c r="N27" s="128" t="s">
        <v>442</v>
      </c>
      <c r="O27" s="128"/>
      <c r="P27" s="128"/>
      <c r="Q27" s="128"/>
      <c r="R27" s="128" t="s">
        <v>539</v>
      </c>
      <c r="S27" s="128" t="s">
        <v>444</v>
      </c>
      <c r="T27" s="128" t="s">
        <v>445</v>
      </c>
      <c r="U27" s="128"/>
      <c r="V27" s="128"/>
      <c r="W27" s="128" t="s">
        <v>439</v>
      </c>
      <c r="X27" s="128"/>
      <c r="Y27" s="128" t="s">
        <v>540</v>
      </c>
      <c r="Z27" s="128" t="s">
        <v>52</v>
      </c>
      <c r="AA27" s="128" t="s">
        <v>28</v>
      </c>
      <c r="AB27" s="128" t="s">
        <v>18</v>
      </c>
      <c r="AC27" s="128">
        <v>10509</v>
      </c>
      <c r="AD27" s="128" t="s">
        <v>446</v>
      </c>
      <c r="AE27" s="128">
        <v>2401557985</v>
      </c>
      <c r="AF27" s="128" t="s">
        <v>447</v>
      </c>
      <c r="AG27" s="128">
        <v>21</v>
      </c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  <c r="AR27" s="128"/>
      <c r="AS27" s="128"/>
      <c r="AT27" s="128"/>
      <c r="AU27" s="128"/>
      <c r="AV27" s="128"/>
      <c r="AW27" s="128">
        <v>86</v>
      </c>
      <c r="AX27" s="128"/>
      <c r="AY27" s="128" t="s">
        <v>439</v>
      </c>
      <c r="AZ27" s="128">
        <v>10</v>
      </c>
      <c r="BA27" s="128" t="s">
        <v>448</v>
      </c>
      <c r="BB27" s="128"/>
      <c r="BC27" s="128" t="s">
        <v>449</v>
      </c>
      <c r="BD27" s="128">
        <v>14</v>
      </c>
    </row>
    <row r="28" spans="1:56" s="18" customFormat="1" ht="14.25" customHeight="1" x14ac:dyDescent="0.2">
      <c r="A28" s="128">
        <v>23</v>
      </c>
      <c r="B28" s="128" t="s">
        <v>436</v>
      </c>
      <c r="C28" s="128" t="s">
        <v>437</v>
      </c>
      <c r="D28" s="128">
        <v>202</v>
      </c>
      <c r="E28" s="128" t="s">
        <v>438</v>
      </c>
      <c r="F28" s="128" t="s">
        <v>542</v>
      </c>
      <c r="G28" s="128"/>
      <c r="H28" s="128" t="s">
        <v>435</v>
      </c>
      <c r="I28" s="128">
        <v>1</v>
      </c>
      <c r="J28" s="128" t="s">
        <v>440</v>
      </c>
      <c r="K28" s="129">
        <v>20.41</v>
      </c>
      <c r="L28" s="130" t="s">
        <v>545</v>
      </c>
      <c r="M28" s="128" t="s">
        <v>441</v>
      </c>
      <c r="N28" s="128" t="s">
        <v>442</v>
      </c>
      <c r="O28" s="128"/>
      <c r="P28" s="128"/>
      <c r="Q28" s="128"/>
      <c r="R28" s="128" t="s">
        <v>543</v>
      </c>
      <c r="S28" s="128" t="s">
        <v>444</v>
      </c>
      <c r="T28" s="128" t="s">
        <v>445</v>
      </c>
      <c r="U28" s="128"/>
      <c r="V28" s="128"/>
      <c r="W28" s="128" t="s">
        <v>439</v>
      </c>
      <c r="X28" s="128"/>
      <c r="Y28" s="128" t="s">
        <v>544</v>
      </c>
      <c r="Z28" s="128" t="s">
        <v>54</v>
      </c>
      <c r="AA28" s="128" t="s">
        <v>28</v>
      </c>
      <c r="AB28" s="128" t="s">
        <v>18</v>
      </c>
      <c r="AC28" s="128">
        <v>10549</v>
      </c>
      <c r="AD28" s="128" t="s">
        <v>446</v>
      </c>
      <c r="AE28" s="128">
        <v>2540115689</v>
      </c>
      <c r="AF28" s="128" t="s">
        <v>447</v>
      </c>
      <c r="AG28" s="128">
        <v>21</v>
      </c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  <c r="AR28" s="128"/>
      <c r="AS28" s="128"/>
      <c r="AT28" s="128"/>
      <c r="AU28" s="128"/>
      <c r="AV28" s="128"/>
      <c r="AW28" s="128">
        <v>86</v>
      </c>
      <c r="AX28" s="128"/>
      <c r="AY28" s="128" t="s">
        <v>439</v>
      </c>
      <c r="AZ28" s="128">
        <v>10</v>
      </c>
      <c r="BA28" s="128" t="s">
        <v>448</v>
      </c>
      <c r="BB28" s="128"/>
      <c r="BC28" s="128" t="s">
        <v>449</v>
      </c>
      <c r="BD28" s="128">
        <v>14</v>
      </c>
    </row>
    <row r="29" spans="1:56" s="18" customFormat="1" x14ac:dyDescent="0.2">
      <c r="A29" s="128">
        <v>23</v>
      </c>
      <c r="B29" s="128" t="s">
        <v>436</v>
      </c>
      <c r="C29" s="128" t="s">
        <v>437</v>
      </c>
      <c r="D29" s="128">
        <v>202</v>
      </c>
      <c r="E29" s="128" t="s">
        <v>438</v>
      </c>
      <c r="F29" s="128" t="s">
        <v>546</v>
      </c>
      <c r="G29" s="128"/>
      <c r="H29" s="128" t="s">
        <v>435</v>
      </c>
      <c r="I29" s="128">
        <v>1</v>
      </c>
      <c r="J29" s="128" t="s">
        <v>440</v>
      </c>
      <c r="K29" s="129">
        <v>20.41</v>
      </c>
      <c r="L29" s="130" t="s">
        <v>549</v>
      </c>
      <c r="M29" s="128" t="s">
        <v>441</v>
      </c>
      <c r="N29" s="128" t="s">
        <v>442</v>
      </c>
      <c r="O29" s="128"/>
      <c r="P29" s="128"/>
      <c r="Q29" s="128"/>
      <c r="R29" s="128" t="s">
        <v>547</v>
      </c>
      <c r="S29" s="128" t="s">
        <v>444</v>
      </c>
      <c r="T29" s="128" t="s">
        <v>445</v>
      </c>
      <c r="U29" s="128"/>
      <c r="V29" s="128"/>
      <c r="W29" s="128" t="s">
        <v>439</v>
      </c>
      <c r="X29" s="128"/>
      <c r="Y29" s="128" t="s">
        <v>548</v>
      </c>
      <c r="Z29" s="128" t="s">
        <v>55</v>
      </c>
      <c r="AA29" s="128" t="s">
        <v>56</v>
      </c>
      <c r="AB29" s="128" t="s">
        <v>18</v>
      </c>
      <c r="AC29" s="128">
        <v>10536</v>
      </c>
      <c r="AD29" s="128" t="s">
        <v>446</v>
      </c>
      <c r="AE29" s="128">
        <v>2405578954</v>
      </c>
      <c r="AF29" s="128" t="s">
        <v>447</v>
      </c>
      <c r="AG29" s="128">
        <v>21</v>
      </c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  <c r="AR29" s="128"/>
      <c r="AS29" s="128"/>
      <c r="AT29" s="128"/>
      <c r="AU29" s="128"/>
      <c r="AV29" s="128"/>
      <c r="AW29" s="128">
        <v>86</v>
      </c>
      <c r="AX29" s="128"/>
      <c r="AY29" s="128" t="s">
        <v>439</v>
      </c>
      <c r="AZ29" s="128">
        <v>10</v>
      </c>
      <c r="BA29" s="128" t="s">
        <v>448</v>
      </c>
      <c r="BB29" s="128"/>
      <c r="BC29" s="128" t="s">
        <v>449</v>
      </c>
      <c r="BD29" s="128">
        <v>15</v>
      </c>
    </row>
    <row r="30" spans="1:56" s="18" customFormat="1" ht="15" customHeight="1" x14ac:dyDescent="0.2">
      <c r="A30" s="128">
        <v>23</v>
      </c>
      <c r="B30" s="128" t="s">
        <v>436</v>
      </c>
      <c r="C30" s="128" t="s">
        <v>437</v>
      </c>
      <c r="D30" s="128">
        <v>202</v>
      </c>
      <c r="E30" s="128" t="s">
        <v>438</v>
      </c>
      <c r="F30" s="128" t="s">
        <v>550</v>
      </c>
      <c r="G30" s="128"/>
      <c r="H30" s="128" t="s">
        <v>435</v>
      </c>
      <c r="I30" s="128">
        <v>1</v>
      </c>
      <c r="J30" s="128" t="s">
        <v>440</v>
      </c>
      <c r="K30" s="129">
        <v>18.14</v>
      </c>
      <c r="L30" s="130" t="s">
        <v>553</v>
      </c>
      <c r="M30" s="128" t="s">
        <v>441</v>
      </c>
      <c r="N30" s="128" t="s">
        <v>442</v>
      </c>
      <c r="O30" s="128"/>
      <c r="P30" s="128"/>
      <c r="Q30" s="128"/>
      <c r="R30" s="128" t="s">
        <v>551</v>
      </c>
      <c r="S30" s="128" t="s">
        <v>444</v>
      </c>
      <c r="T30" s="128" t="s">
        <v>445</v>
      </c>
      <c r="U30" s="128"/>
      <c r="V30" s="128"/>
      <c r="W30" s="128" t="s">
        <v>439</v>
      </c>
      <c r="X30" s="128"/>
      <c r="Y30" s="128" t="s">
        <v>552</v>
      </c>
      <c r="Z30" s="128" t="s">
        <v>57</v>
      </c>
      <c r="AA30" s="128" t="s">
        <v>28</v>
      </c>
      <c r="AB30" s="128" t="s">
        <v>18</v>
      </c>
      <c r="AC30" s="128">
        <v>10549</v>
      </c>
      <c r="AD30" s="128" t="s">
        <v>446</v>
      </c>
      <c r="AE30" s="128">
        <v>2409975542</v>
      </c>
      <c r="AF30" s="128" t="s">
        <v>447</v>
      </c>
      <c r="AG30" s="128">
        <v>21</v>
      </c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>
        <v>86</v>
      </c>
      <c r="AX30" s="128"/>
      <c r="AY30" s="128" t="s">
        <v>439</v>
      </c>
      <c r="AZ30" s="128">
        <v>10</v>
      </c>
      <c r="BA30" s="128" t="s">
        <v>448</v>
      </c>
      <c r="BB30" s="128"/>
      <c r="BC30" s="128" t="s">
        <v>449</v>
      </c>
      <c r="BD30" s="128">
        <v>15</v>
      </c>
    </row>
    <row r="31" spans="1:56" s="18" customFormat="1" x14ac:dyDescent="0.2">
      <c r="A31" s="128">
        <v>23</v>
      </c>
      <c r="B31" s="128" t="s">
        <v>436</v>
      </c>
      <c r="C31" s="128" t="s">
        <v>437</v>
      </c>
      <c r="D31" s="128">
        <v>202</v>
      </c>
      <c r="E31" s="128" t="s">
        <v>438</v>
      </c>
      <c r="F31" s="128" t="s">
        <v>554</v>
      </c>
      <c r="G31" s="128"/>
      <c r="H31" s="128" t="s">
        <v>435</v>
      </c>
      <c r="I31" s="128">
        <v>1</v>
      </c>
      <c r="J31" s="128" t="s">
        <v>440</v>
      </c>
      <c r="K31" s="129">
        <v>20.41</v>
      </c>
      <c r="L31" s="130" t="s">
        <v>557</v>
      </c>
      <c r="M31" s="128" t="s">
        <v>441</v>
      </c>
      <c r="N31" s="128" t="s">
        <v>442</v>
      </c>
      <c r="O31" s="128"/>
      <c r="P31" s="128"/>
      <c r="Q31" s="128"/>
      <c r="R31" s="128" t="s">
        <v>555</v>
      </c>
      <c r="S31" s="128" t="s">
        <v>444</v>
      </c>
      <c r="T31" s="128" t="s">
        <v>445</v>
      </c>
      <c r="U31" s="128"/>
      <c r="V31" s="128"/>
      <c r="W31" s="128" t="s">
        <v>439</v>
      </c>
      <c r="X31" s="128"/>
      <c r="Y31" s="128" t="s">
        <v>556</v>
      </c>
      <c r="Z31" s="128" t="s">
        <v>58</v>
      </c>
      <c r="AA31" s="128" t="s">
        <v>26</v>
      </c>
      <c r="AB31" s="128" t="s">
        <v>18</v>
      </c>
      <c r="AC31" s="128">
        <v>10509</v>
      </c>
      <c r="AD31" s="128" t="s">
        <v>446</v>
      </c>
      <c r="AE31" s="128">
        <v>2499154210</v>
      </c>
      <c r="AF31" s="128" t="s">
        <v>447</v>
      </c>
      <c r="AG31" s="128">
        <v>21</v>
      </c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  <c r="AR31" s="128"/>
      <c r="AS31" s="128"/>
      <c r="AT31" s="128"/>
      <c r="AU31" s="128"/>
      <c r="AV31" s="128"/>
      <c r="AW31" s="128">
        <v>86</v>
      </c>
      <c r="AX31" s="128"/>
      <c r="AY31" s="128" t="s">
        <v>439</v>
      </c>
      <c r="AZ31" s="128">
        <v>10</v>
      </c>
      <c r="BA31" s="128" t="s">
        <v>448</v>
      </c>
      <c r="BB31" s="128"/>
      <c r="BC31" s="128" t="s">
        <v>449</v>
      </c>
      <c r="BD31" s="128">
        <v>16</v>
      </c>
    </row>
    <row r="32" spans="1:56" s="18" customFormat="1" x14ac:dyDescent="0.2">
      <c r="A32" s="128">
        <v>23</v>
      </c>
      <c r="B32" s="128" t="s">
        <v>436</v>
      </c>
      <c r="C32" s="128" t="s">
        <v>437</v>
      </c>
      <c r="D32" s="128">
        <v>202</v>
      </c>
      <c r="E32" s="128" t="s">
        <v>438</v>
      </c>
      <c r="F32" s="128" t="s">
        <v>558</v>
      </c>
      <c r="G32" s="128"/>
      <c r="H32" s="128" t="s">
        <v>435</v>
      </c>
      <c r="I32" s="128">
        <v>1</v>
      </c>
      <c r="J32" s="128" t="s">
        <v>440</v>
      </c>
      <c r="K32" s="129">
        <v>20.41</v>
      </c>
      <c r="L32" s="130" t="s">
        <v>557</v>
      </c>
      <c r="M32" s="128" t="s">
        <v>441</v>
      </c>
      <c r="N32" s="128" t="s">
        <v>442</v>
      </c>
      <c r="O32" s="128"/>
      <c r="P32" s="128"/>
      <c r="Q32" s="128"/>
      <c r="R32" s="128" t="s">
        <v>559</v>
      </c>
      <c r="S32" s="128" t="s">
        <v>444</v>
      </c>
      <c r="T32" s="128" t="s">
        <v>445</v>
      </c>
      <c r="U32" s="128"/>
      <c r="V32" s="128"/>
      <c r="W32" s="128" t="s">
        <v>439</v>
      </c>
      <c r="X32" s="128"/>
      <c r="Y32" s="128" t="s">
        <v>560</v>
      </c>
      <c r="Z32" s="128" t="s">
        <v>59</v>
      </c>
      <c r="AA32" s="128" t="s">
        <v>56</v>
      </c>
      <c r="AB32" s="128" t="s">
        <v>18</v>
      </c>
      <c r="AC32" s="128">
        <v>10536</v>
      </c>
      <c r="AD32" s="128" t="s">
        <v>446</v>
      </c>
      <c r="AE32" s="128">
        <v>2408546672</v>
      </c>
      <c r="AF32" s="128" t="s">
        <v>447</v>
      </c>
      <c r="AG32" s="128">
        <v>21</v>
      </c>
      <c r="AH32" s="128"/>
      <c r="AI32" s="128"/>
      <c r="AJ32" s="128"/>
      <c r="AK32" s="128"/>
      <c r="AL32" s="128"/>
      <c r="AM32" s="128"/>
      <c r="AN32" s="128"/>
      <c r="AO32" s="128"/>
      <c r="AP32" s="128"/>
      <c r="AQ32" s="128"/>
      <c r="AR32" s="128"/>
      <c r="AS32" s="128"/>
      <c r="AT32" s="128"/>
      <c r="AU32" s="128"/>
      <c r="AV32" s="128"/>
      <c r="AW32" s="128">
        <v>86</v>
      </c>
      <c r="AX32" s="128"/>
      <c r="AY32" s="128" t="s">
        <v>439</v>
      </c>
      <c r="AZ32" s="128">
        <v>10</v>
      </c>
      <c r="BA32" s="128" t="s">
        <v>448</v>
      </c>
      <c r="BB32" s="128"/>
      <c r="BC32" s="128" t="s">
        <v>449</v>
      </c>
      <c r="BD32" s="128">
        <v>17</v>
      </c>
    </row>
    <row r="33" spans="1:56" s="18" customFormat="1" ht="17.25" customHeight="1" x14ac:dyDescent="0.2">
      <c r="A33" s="128">
        <v>23</v>
      </c>
      <c r="B33" s="128" t="s">
        <v>436</v>
      </c>
      <c r="C33" s="128" t="s">
        <v>437</v>
      </c>
      <c r="D33" s="128">
        <v>202</v>
      </c>
      <c r="E33" s="128" t="s">
        <v>438</v>
      </c>
      <c r="F33" s="128" t="s">
        <v>561</v>
      </c>
      <c r="G33" s="128"/>
      <c r="H33" s="128" t="s">
        <v>435</v>
      </c>
      <c r="I33" s="128">
        <v>1</v>
      </c>
      <c r="J33" s="128" t="s">
        <v>440</v>
      </c>
      <c r="K33" s="129">
        <v>22.68</v>
      </c>
      <c r="L33" s="130" t="s">
        <v>564</v>
      </c>
      <c r="M33" s="128" t="s">
        <v>441</v>
      </c>
      <c r="N33" s="128" t="s">
        <v>442</v>
      </c>
      <c r="O33" s="128"/>
      <c r="P33" s="128"/>
      <c r="Q33" s="128"/>
      <c r="R33" s="128" t="s">
        <v>562</v>
      </c>
      <c r="S33" s="128" t="s">
        <v>444</v>
      </c>
      <c r="T33" s="128" t="s">
        <v>445</v>
      </c>
      <c r="U33" s="128"/>
      <c r="V33" s="128"/>
      <c r="W33" s="128" t="s">
        <v>439</v>
      </c>
      <c r="X33" s="128"/>
      <c r="Y33" s="128" t="s">
        <v>563</v>
      </c>
      <c r="Z33" s="128" t="s">
        <v>60</v>
      </c>
      <c r="AA33" s="128" t="s">
        <v>26</v>
      </c>
      <c r="AB33" s="128" t="s">
        <v>18</v>
      </c>
      <c r="AC33" s="128">
        <v>10509</v>
      </c>
      <c r="AD33" s="128" t="s">
        <v>446</v>
      </c>
      <c r="AE33" s="128">
        <v>2408465552</v>
      </c>
      <c r="AF33" s="128" t="s">
        <v>447</v>
      </c>
      <c r="AG33" s="128">
        <v>21</v>
      </c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>
        <v>86</v>
      </c>
      <c r="AX33" s="128"/>
      <c r="AY33" s="128" t="s">
        <v>439</v>
      </c>
      <c r="AZ33" s="128">
        <v>11</v>
      </c>
      <c r="BA33" s="128" t="s">
        <v>448</v>
      </c>
      <c r="BB33" s="128"/>
      <c r="BC33" s="128" t="s">
        <v>449</v>
      </c>
      <c r="BD33" s="128">
        <v>18</v>
      </c>
    </row>
    <row r="34" spans="1:56" s="18" customFormat="1" ht="14.25" customHeight="1" x14ac:dyDescent="0.2">
      <c r="A34" s="128">
        <v>23</v>
      </c>
      <c r="B34" s="128" t="s">
        <v>436</v>
      </c>
      <c r="C34" s="128" t="s">
        <v>437</v>
      </c>
      <c r="D34" s="128">
        <v>202</v>
      </c>
      <c r="E34" s="128" t="s">
        <v>438</v>
      </c>
      <c r="F34" s="128" t="s">
        <v>565</v>
      </c>
      <c r="G34" s="128"/>
      <c r="H34" s="128" t="s">
        <v>435</v>
      </c>
      <c r="I34" s="128">
        <v>1</v>
      </c>
      <c r="J34" s="128" t="s">
        <v>440</v>
      </c>
      <c r="K34" s="129">
        <v>20.41</v>
      </c>
      <c r="L34" s="130" t="s">
        <v>568</v>
      </c>
      <c r="M34" s="128" t="s">
        <v>441</v>
      </c>
      <c r="N34" s="128" t="s">
        <v>442</v>
      </c>
      <c r="O34" s="128"/>
      <c r="P34" s="128"/>
      <c r="Q34" s="128"/>
      <c r="R34" s="128" t="s">
        <v>566</v>
      </c>
      <c r="S34" s="128" t="s">
        <v>444</v>
      </c>
      <c r="T34" s="128" t="s">
        <v>445</v>
      </c>
      <c r="U34" s="128"/>
      <c r="V34" s="128"/>
      <c r="W34" s="128" t="s">
        <v>439</v>
      </c>
      <c r="X34" s="128"/>
      <c r="Y34" s="128" t="s">
        <v>567</v>
      </c>
      <c r="Z34" s="128" t="s">
        <v>61</v>
      </c>
      <c r="AA34" s="128" t="s">
        <v>28</v>
      </c>
      <c r="AB34" s="128" t="s">
        <v>18</v>
      </c>
      <c r="AC34" s="128">
        <v>10549</v>
      </c>
      <c r="AD34" s="128" t="s">
        <v>446</v>
      </c>
      <c r="AE34" s="128">
        <v>2405117895</v>
      </c>
      <c r="AF34" s="128" t="s">
        <v>447</v>
      </c>
      <c r="AG34" s="128">
        <v>21</v>
      </c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>
        <v>86</v>
      </c>
      <c r="AX34" s="128"/>
      <c r="AY34" s="128" t="s">
        <v>439</v>
      </c>
      <c r="AZ34" s="128">
        <v>10</v>
      </c>
      <c r="BA34" s="128" t="s">
        <v>448</v>
      </c>
      <c r="BB34" s="128"/>
      <c r="BC34" s="128" t="s">
        <v>449</v>
      </c>
      <c r="BD34" s="128">
        <v>19</v>
      </c>
    </row>
    <row r="35" spans="1:56" s="18" customFormat="1" ht="15.75" customHeight="1" x14ac:dyDescent="0.2">
      <c r="A35" s="128">
        <v>23</v>
      </c>
      <c r="B35" s="128" t="s">
        <v>436</v>
      </c>
      <c r="C35" s="128" t="s">
        <v>437</v>
      </c>
      <c r="D35" s="128">
        <v>202</v>
      </c>
      <c r="E35" s="128" t="s">
        <v>438</v>
      </c>
      <c r="F35" s="128" t="s">
        <v>569</v>
      </c>
      <c r="G35" s="128"/>
      <c r="H35" s="128" t="s">
        <v>435</v>
      </c>
      <c r="I35" s="128">
        <v>1</v>
      </c>
      <c r="J35" s="128" t="s">
        <v>440</v>
      </c>
      <c r="K35" s="129">
        <v>20.41</v>
      </c>
      <c r="L35" s="130" t="s">
        <v>572</v>
      </c>
      <c r="M35" s="128" t="s">
        <v>441</v>
      </c>
      <c r="N35" s="128" t="s">
        <v>442</v>
      </c>
      <c r="O35" s="128"/>
      <c r="P35" s="128"/>
      <c r="Q35" s="128"/>
      <c r="R35" s="128" t="s">
        <v>570</v>
      </c>
      <c r="S35" s="128" t="s">
        <v>444</v>
      </c>
      <c r="T35" s="128" t="s">
        <v>445</v>
      </c>
      <c r="U35" s="128"/>
      <c r="V35" s="128"/>
      <c r="W35" s="128" t="s">
        <v>439</v>
      </c>
      <c r="X35" s="128"/>
      <c r="Y35" s="128" t="s">
        <v>571</v>
      </c>
      <c r="Z35" s="128" t="s">
        <v>62</v>
      </c>
      <c r="AA35" s="128" t="s">
        <v>28</v>
      </c>
      <c r="AB35" s="128" t="s">
        <v>18</v>
      </c>
      <c r="AC35" s="128">
        <v>10549</v>
      </c>
      <c r="AD35" s="128" t="s">
        <v>446</v>
      </c>
      <c r="AE35" s="128">
        <v>2405741658</v>
      </c>
      <c r="AF35" s="128" t="s">
        <v>447</v>
      </c>
      <c r="AG35" s="128">
        <v>21</v>
      </c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>
        <v>86</v>
      </c>
      <c r="AX35" s="128"/>
      <c r="AY35" s="128" t="s">
        <v>439</v>
      </c>
      <c r="AZ35" s="128">
        <v>10</v>
      </c>
      <c r="BA35" s="128" t="s">
        <v>448</v>
      </c>
      <c r="BB35" s="128"/>
      <c r="BC35" s="128" t="s">
        <v>449</v>
      </c>
      <c r="BD35" s="128">
        <v>19</v>
      </c>
    </row>
    <row r="36" spans="1:56" s="18" customFormat="1" ht="14.25" customHeight="1" x14ac:dyDescent="0.2">
      <c r="A36" s="128">
        <v>23</v>
      </c>
      <c r="B36" s="128" t="s">
        <v>436</v>
      </c>
      <c r="C36" s="128" t="s">
        <v>437</v>
      </c>
      <c r="D36" s="128">
        <v>202</v>
      </c>
      <c r="E36" s="128" t="s">
        <v>438</v>
      </c>
      <c r="F36" s="128" t="s">
        <v>573</v>
      </c>
      <c r="G36" s="128"/>
      <c r="H36" s="128" t="s">
        <v>435</v>
      </c>
      <c r="I36" s="128">
        <v>1</v>
      </c>
      <c r="J36" s="128" t="s">
        <v>440</v>
      </c>
      <c r="K36" s="129">
        <v>11.34</v>
      </c>
      <c r="L36" s="130" t="s">
        <v>577</v>
      </c>
      <c r="M36" s="128" t="s">
        <v>441</v>
      </c>
      <c r="N36" s="128" t="s">
        <v>442</v>
      </c>
      <c r="O36" s="128"/>
      <c r="P36" s="128"/>
      <c r="Q36" s="128"/>
      <c r="R36" s="128" t="s">
        <v>574</v>
      </c>
      <c r="S36" s="128" t="s">
        <v>444</v>
      </c>
      <c r="T36" s="128" t="s">
        <v>445</v>
      </c>
      <c r="U36" s="128"/>
      <c r="V36" s="128"/>
      <c r="W36" s="128" t="s">
        <v>439</v>
      </c>
      <c r="X36" s="128"/>
      <c r="Y36" s="128" t="s">
        <v>575</v>
      </c>
      <c r="Z36" s="128" t="s">
        <v>63</v>
      </c>
      <c r="AA36" s="128" t="s">
        <v>64</v>
      </c>
      <c r="AB36" s="128" t="s">
        <v>18</v>
      </c>
      <c r="AC36" s="128">
        <v>10514</v>
      </c>
      <c r="AD36" s="128" t="s">
        <v>446</v>
      </c>
      <c r="AE36" s="128">
        <v>2405746452</v>
      </c>
      <c r="AF36" s="128" t="s">
        <v>447</v>
      </c>
      <c r="AG36" s="128">
        <v>21</v>
      </c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>
        <v>86</v>
      </c>
      <c r="AX36" s="128"/>
      <c r="AY36" s="128" t="s">
        <v>439</v>
      </c>
      <c r="AZ36" s="128">
        <v>8</v>
      </c>
      <c r="BA36" s="128" t="s">
        <v>448</v>
      </c>
      <c r="BB36" s="128"/>
      <c r="BC36" s="128" t="s">
        <v>449</v>
      </c>
      <c r="BD36" s="128">
        <v>20</v>
      </c>
    </row>
    <row r="37" spans="1:56" s="18" customFormat="1" x14ac:dyDescent="0.2">
      <c r="A37" s="128">
        <v>23</v>
      </c>
      <c r="B37" s="128" t="s">
        <v>436</v>
      </c>
      <c r="C37" s="128" t="s">
        <v>437</v>
      </c>
      <c r="D37" s="128">
        <v>202</v>
      </c>
      <c r="E37" s="128" t="s">
        <v>438</v>
      </c>
      <c r="F37" s="128" t="s">
        <v>578</v>
      </c>
      <c r="G37" s="128"/>
      <c r="H37" s="128" t="s">
        <v>435</v>
      </c>
      <c r="I37" s="128">
        <v>1</v>
      </c>
      <c r="J37" s="128" t="s">
        <v>440</v>
      </c>
      <c r="K37" s="129">
        <v>11.34</v>
      </c>
      <c r="L37" s="130" t="s">
        <v>577</v>
      </c>
      <c r="M37" s="128" t="s">
        <v>441</v>
      </c>
      <c r="N37" s="128" t="s">
        <v>442</v>
      </c>
      <c r="O37" s="128"/>
      <c r="P37" s="128"/>
      <c r="Q37" s="128"/>
      <c r="R37" s="128" t="s">
        <v>579</v>
      </c>
      <c r="S37" s="128" t="s">
        <v>444</v>
      </c>
      <c r="T37" s="128" t="s">
        <v>445</v>
      </c>
      <c r="U37" s="128"/>
      <c r="V37" s="128"/>
      <c r="W37" s="128" t="s">
        <v>439</v>
      </c>
      <c r="X37" s="128"/>
      <c r="Y37" s="128" t="s">
        <v>580</v>
      </c>
      <c r="Z37" s="128" t="s">
        <v>65</v>
      </c>
      <c r="AA37" s="128" t="s">
        <v>28</v>
      </c>
      <c r="AB37" s="128" t="s">
        <v>18</v>
      </c>
      <c r="AC37" s="128">
        <v>10549</v>
      </c>
      <c r="AD37" s="128" t="s">
        <v>446</v>
      </c>
      <c r="AE37" s="128">
        <v>2409514462</v>
      </c>
      <c r="AF37" s="128" t="s">
        <v>447</v>
      </c>
      <c r="AG37" s="128">
        <v>21</v>
      </c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>
        <v>86</v>
      </c>
      <c r="AX37" s="128"/>
      <c r="AY37" s="128" t="s">
        <v>439</v>
      </c>
      <c r="AZ37" s="128">
        <v>8</v>
      </c>
      <c r="BA37" s="128" t="s">
        <v>448</v>
      </c>
      <c r="BB37" s="128"/>
      <c r="BC37" s="128" t="s">
        <v>449</v>
      </c>
      <c r="BD37" s="128">
        <v>20</v>
      </c>
    </row>
    <row r="38" spans="1:56" s="18" customFormat="1" ht="15" customHeight="1" x14ac:dyDescent="0.2">
      <c r="A38" s="128">
        <v>23</v>
      </c>
      <c r="B38" s="128" t="s">
        <v>436</v>
      </c>
      <c r="C38" s="128" t="s">
        <v>437</v>
      </c>
      <c r="D38" s="128">
        <v>202</v>
      </c>
      <c r="E38" s="128" t="s">
        <v>438</v>
      </c>
      <c r="F38" s="128" t="s">
        <v>581</v>
      </c>
      <c r="G38" s="128"/>
      <c r="H38" s="128" t="s">
        <v>435</v>
      </c>
      <c r="I38" s="128">
        <v>1</v>
      </c>
      <c r="J38" s="128" t="s">
        <v>440</v>
      </c>
      <c r="K38" s="129">
        <v>20.41</v>
      </c>
      <c r="L38" s="130" t="s">
        <v>584</v>
      </c>
      <c r="M38" s="128" t="s">
        <v>441</v>
      </c>
      <c r="N38" s="128" t="s">
        <v>442</v>
      </c>
      <c r="O38" s="128"/>
      <c r="P38" s="128"/>
      <c r="Q38" s="128"/>
      <c r="R38" s="128" t="s">
        <v>582</v>
      </c>
      <c r="S38" s="128" t="s">
        <v>444</v>
      </c>
      <c r="T38" s="128" t="s">
        <v>445</v>
      </c>
      <c r="U38" s="128"/>
      <c r="V38" s="128"/>
      <c r="W38" s="128" t="s">
        <v>439</v>
      </c>
      <c r="X38" s="128"/>
      <c r="Y38" s="128" t="s">
        <v>583</v>
      </c>
      <c r="Z38" s="128" t="s">
        <v>66</v>
      </c>
      <c r="AA38" s="128" t="s">
        <v>22</v>
      </c>
      <c r="AB38" s="128" t="s">
        <v>18</v>
      </c>
      <c r="AC38" s="128">
        <v>10080</v>
      </c>
      <c r="AD38" s="128" t="s">
        <v>446</v>
      </c>
      <c r="AE38" s="128">
        <v>2401578895</v>
      </c>
      <c r="AF38" s="128" t="s">
        <v>447</v>
      </c>
      <c r="AG38" s="128">
        <v>21</v>
      </c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>
        <v>86</v>
      </c>
      <c r="AX38" s="128"/>
      <c r="AY38" s="128" t="s">
        <v>439</v>
      </c>
      <c r="AZ38" s="128">
        <v>10</v>
      </c>
      <c r="BA38" s="128" t="s">
        <v>448</v>
      </c>
      <c r="BB38" s="128"/>
      <c r="BC38" s="128" t="s">
        <v>449</v>
      </c>
      <c r="BD38" s="128">
        <v>21</v>
      </c>
    </row>
    <row r="39" spans="1:56" s="18" customFormat="1" x14ac:dyDescent="0.2">
      <c r="A39" s="128">
        <v>23</v>
      </c>
      <c r="B39" s="128" t="s">
        <v>436</v>
      </c>
      <c r="C39" s="128" t="s">
        <v>437</v>
      </c>
      <c r="D39" s="128">
        <v>202</v>
      </c>
      <c r="E39" s="128" t="s">
        <v>438</v>
      </c>
      <c r="F39" s="128" t="s">
        <v>585</v>
      </c>
      <c r="G39" s="128"/>
      <c r="H39" s="128" t="s">
        <v>435</v>
      </c>
      <c r="I39" s="128">
        <v>1</v>
      </c>
      <c r="J39" s="128" t="s">
        <v>440</v>
      </c>
      <c r="K39" s="129">
        <v>20.41</v>
      </c>
      <c r="L39" s="130" t="s">
        <v>588</v>
      </c>
      <c r="M39" s="128" t="s">
        <v>441</v>
      </c>
      <c r="N39" s="128" t="s">
        <v>442</v>
      </c>
      <c r="O39" s="128"/>
      <c r="P39" s="128"/>
      <c r="Q39" s="128"/>
      <c r="R39" s="128" t="s">
        <v>586</v>
      </c>
      <c r="S39" s="128" t="s">
        <v>444</v>
      </c>
      <c r="T39" s="128" t="s">
        <v>445</v>
      </c>
      <c r="U39" s="128"/>
      <c r="V39" s="128"/>
      <c r="W39" s="128" t="s">
        <v>439</v>
      </c>
      <c r="X39" s="128"/>
      <c r="Y39" s="128" t="s">
        <v>587</v>
      </c>
      <c r="Z39" s="128" t="s">
        <v>71</v>
      </c>
      <c r="AA39" s="128" t="s">
        <v>70</v>
      </c>
      <c r="AB39" s="128" t="s">
        <v>18</v>
      </c>
      <c r="AC39" s="128">
        <v>10001</v>
      </c>
      <c r="AD39" s="128" t="s">
        <v>446</v>
      </c>
      <c r="AE39" s="128">
        <v>2404112457</v>
      </c>
      <c r="AF39" s="128" t="s">
        <v>447</v>
      </c>
      <c r="AG39" s="128">
        <v>21</v>
      </c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  <c r="AR39" s="128"/>
      <c r="AS39" s="128"/>
      <c r="AT39" s="128"/>
      <c r="AU39" s="128"/>
      <c r="AV39" s="128"/>
      <c r="AW39" s="128">
        <v>86</v>
      </c>
      <c r="AX39" s="128"/>
      <c r="AY39" s="128" t="s">
        <v>439</v>
      </c>
      <c r="AZ39" s="128">
        <v>10</v>
      </c>
      <c r="BA39" s="128" t="s">
        <v>448</v>
      </c>
      <c r="BB39" s="128"/>
      <c r="BC39" s="128" t="s">
        <v>449</v>
      </c>
      <c r="BD39" s="128">
        <v>21</v>
      </c>
    </row>
    <row r="40" spans="1:56" s="18" customFormat="1" ht="15" customHeight="1" x14ac:dyDescent="0.2">
      <c r="A40" s="128">
        <v>23</v>
      </c>
      <c r="B40" s="128" t="s">
        <v>436</v>
      </c>
      <c r="C40" s="128" t="s">
        <v>437</v>
      </c>
      <c r="D40" s="128">
        <v>202</v>
      </c>
      <c r="E40" s="128" t="s">
        <v>438</v>
      </c>
      <c r="F40" s="128" t="s">
        <v>589</v>
      </c>
      <c r="G40" s="128"/>
      <c r="H40" s="128" t="s">
        <v>435</v>
      </c>
      <c r="I40" s="128">
        <v>1</v>
      </c>
      <c r="J40" s="128" t="s">
        <v>440</v>
      </c>
      <c r="K40" s="129">
        <v>20.41</v>
      </c>
      <c r="L40" s="130" t="s">
        <v>591</v>
      </c>
      <c r="M40" s="128" t="s">
        <v>441</v>
      </c>
      <c r="N40" s="128" t="s">
        <v>442</v>
      </c>
      <c r="O40" s="128"/>
      <c r="P40" s="128"/>
      <c r="Q40" s="128"/>
      <c r="R40" s="128" t="s">
        <v>570</v>
      </c>
      <c r="S40" s="128" t="s">
        <v>444</v>
      </c>
      <c r="T40" s="128" t="s">
        <v>445</v>
      </c>
      <c r="U40" s="128"/>
      <c r="V40" s="128"/>
      <c r="W40" s="128" t="s">
        <v>439</v>
      </c>
      <c r="X40" s="128"/>
      <c r="Y40" s="128" t="s">
        <v>590</v>
      </c>
      <c r="Z40" s="128" t="s">
        <v>72</v>
      </c>
      <c r="AA40" s="128" t="s">
        <v>28</v>
      </c>
      <c r="AB40" s="128" t="s">
        <v>18</v>
      </c>
      <c r="AC40" s="128">
        <v>10549</v>
      </c>
      <c r="AD40" s="128" t="s">
        <v>446</v>
      </c>
      <c r="AE40" s="128">
        <v>2407453445</v>
      </c>
      <c r="AF40" s="128" t="s">
        <v>447</v>
      </c>
      <c r="AG40" s="128">
        <v>21</v>
      </c>
      <c r="AH40" s="128"/>
      <c r="AI40" s="128"/>
      <c r="AJ40" s="128"/>
      <c r="AK40" s="128"/>
      <c r="AL40" s="128"/>
      <c r="AM40" s="128"/>
      <c r="AN40" s="128"/>
      <c r="AO40" s="128"/>
      <c r="AP40" s="128"/>
      <c r="AQ40" s="128"/>
      <c r="AR40" s="128"/>
      <c r="AS40" s="128"/>
      <c r="AT40" s="128"/>
      <c r="AU40" s="128"/>
      <c r="AV40" s="128"/>
      <c r="AW40" s="128">
        <v>86</v>
      </c>
      <c r="AX40" s="128"/>
      <c r="AY40" s="128" t="s">
        <v>439</v>
      </c>
      <c r="AZ40" s="128">
        <v>10</v>
      </c>
      <c r="BA40" s="128" t="s">
        <v>448</v>
      </c>
      <c r="BB40" s="128"/>
      <c r="BC40" s="128" t="s">
        <v>449</v>
      </c>
      <c r="BD40" s="128">
        <v>22</v>
      </c>
    </row>
    <row r="41" spans="1:56" s="18" customFormat="1" ht="30" x14ac:dyDescent="0.2">
      <c r="A41" s="128">
        <v>23</v>
      </c>
      <c r="B41" s="128" t="s">
        <v>436</v>
      </c>
      <c r="C41" s="128" t="s">
        <v>437</v>
      </c>
      <c r="D41" s="128">
        <v>202</v>
      </c>
      <c r="E41" s="128" t="s">
        <v>438</v>
      </c>
      <c r="F41" s="128" t="s">
        <v>592</v>
      </c>
      <c r="G41" s="128"/>
      <c r="H41" s="128" t="s">
        <v>435</v>
      </c>
      <c r="I41" s="128">
        <v>1</v>
      </c>
      <c r="J41" s="128" t="s">
        <v>440</v>
      </c>
      <c r="K41" s="129">
        <v>11.34</v>
      </c>
      <c r="L41" s="130" t="s">
        <v>595</v>
      </c>
      <c r="M41" s="128" t="s">
        <v>441</v>
      </c>
      <c r="N41" s="128" t="s">
        <v>442</v>
      </c>
      <c r="O41" s="128"/>
      <c r="P41" s="128"/>
      <c r="Q41" s="128"/>
      <c r="R41" s="128" t="s">
        <v>593</v>
      </c>
      <c r="S41" s="128" t="s">
        <v>444</v>
      </c>
      <c r="T41" s="128" t="s">
        <v>445</v>
      </c>
      <c r="U41" s="128"/>
      <c r="V41" s="128"/>
      <c r="W41" s="128" t="s">
        <v>439</v>
      </c>
      <c r="X41" s="128"/>
      <c r="Y41" s="128" t="s">
        <v>594</v>
      </c>
      <c r="Z41" s="128" t="s">
        <v>74</v>
      </c>
      <c r="AA41" s="128" t="s">
        <v>28</v>
      </c>
      <c r="AB41" s="128" t="s">
        <v>18</v>
      </c>
      <c r="AC41" s="128">
        <v>10549</v>
      </c>
      <c r="AD41" s="128" t="s">
        <v>446</v>
      </c>
      <c r="AE41" s="128">
        <v>2408445662</v>
      </c>
      <c r="AF41" s="128" t="s">
        <v>447</v>
      </c>
      <c r="AG41" s="128">
        <v>21</v>
      </c>
      <c r="AH41" s="128"/>
      <c r="AI41" s="128"/>
      <c r="AJ41" s="128"/>
      <c r="AK41" s="128"/>
      <c r="AL41" s="128"/>
      <c r="AM41" s="128"/>
      <c r="AN41" s="128"/>
      <c r="AO41" s="128"/>
      <c r="AP41" s="128"/>
      <c r="AQ41" s="128"/>
      <c r="AR41" s="128"/>
      <c r="AS41" s="128"/>
      <c r="AT41" s="128"/>
      <c r="AU41" s="128"/>
      <c r="AV41" s="128"/>
      <c r="AW41" s="128">
        <v>86</v>
      </c>
      <c r="AX41" s="128"/>
      <c r="AY41" s="128" t="s">
        <v>439</v>
      </c>
      <c r="AZ41" s="128">
        <v>8</v>
      </c>
      <c r="BA41" s="128" t="s">
        <v>448</v>
      </c>
      <c r="BB41" s="128"/>
      <c r="BC41" s="128" t="s">
        <v>449</v>
      </c>
      <c r="BD41" s="128">
        <v>22</v>
      </c>
    </row>
    <row r="42" spans="1:56" s="18" customFormat="1" x14ac:dyDescent="0.2">
      <c r="A42" s="128">
        <v>23</v>
      </c>
      <c r="B42" s="128" t="s">
        <v>436</v>
      </c>
      <c r="C42" s="128" t="s">
        <v>437</v>
      </c>
      <c r="D42" s="128">
        <v>202</v>
      </c>
      <c r="E42" s="128" t="s">
        <v>438</v>
      </c>
      <c r="F42" s="128" t="s">
        <v>596</v>
      </c>
      <c r="G42" s="128"/>
      <c r="H42" s="128" t="s">
        <v>435</v>
      </c>
      <c r="I42" s="128">
        <v>1</v>
      </c>
      <c r="J42" s="128" t="s">
        <v>440</v>
      </c>
      <c r="K42" s="129">
        <v>15.88</v>
      </c>
      <c r="L42" s="130" t="s">
        <v>599</v>
      </c>
      <c r="M42" s="128" t="s">
        <v>441</v>
      </c>
      <c r="N42" s="128" t="s">
        <v>442</v>
      </c>
      <c r="O42" s="128"/>
      <c r="P42" s="128"/>
      <c r="Q42" s="128"/>
      <c r="R42" s="128" t="s">
        <v>597</v>
      </c>
      <c r="S42" s="128" t="s">
        <v>444</v>
      </c>
      <c r="T42" s="128" t="s">
        <v>445</v>
      </c>
      <c r="U42" s="128"/>
      <c r="V42" s="128"/>
      <c r="W42" s="128" t="s">
        <v>439</v>
      </c>
      <c r="X42" s="128"/>
      <c r="Y42" s="128" t="s">
        <v>598</v>
      </c>
      <c r="Z42" s="128" t="s">
        <v>75</v>
      </c>
      <c r="AA42" s="128" t="s">
        <v>28</v>
      </c>
      <c r="AB42" s="128" t="s">
        <v>18</v>
      </c>
      <c r="AC42" s="128">
        <v>10549</v>
      </c>
      <c r="AD42" s="128" t="s">
        <v>446</v>
      </c>
      <c r="AE42" s="128">
        <v>2404729836</v>
      </c>
      <c r="AF42" s="128" t="s">
        <v>447</v>
      </c>
      <c r="AG42" s="128">
        <v>21</v>
      </c>
      <c r="AH42" s="128"/>
      <c r="AI42" s="128"/>
      <c r="AJ42" s="128"/>
      <c r="AK42" s="128"/>
      <c r="AL42" s="128"/>
      <c r="AM42" s="128"/>
      <c r="AN42" s="128"/>
      <c r="AO42" s="128"/>
      <c r="AP42" s="128"/>
      <c r="AQ42" s="128"/>
      <c r="AR42" s="128"/>
      <c r="AS42" s="128"/>
      <c r="AT42" s="128"/>
      <c r="AU42" s="128"/>
      <c r="AV42" s="128"/>
      <c r="AW42" s="128">
        <v>86</v>
      </c>
      <c r="AX42" s="128"/>
      <c r="AY42" s="128" t="s">
        <v>439</v>
      </c>
      <c r="AZ42" s="128">
        <v>9</v>
      </c>
      <c r="BA42" s="128" t="s">
        <v>448</v>
      </c>
      <c r="BB42" s="128"/>
      <c r="BC42" s="128" t="s">
        <v>449</v>
      </c>
      <c r="BD42" s="128">
        <v>23</v>
      </c>
    </row>
    <row r="43" spans="1:56" s="18" customFormat="1" x14ac:dyDescent="0.2">
      <c r="A43" s="128">
        <v>23</v>
      </c>
      <c r="B43" s="128" t="s">
        <v>436</v>
      </c>
      <c r="C43" s="128" t="s">
        <v>437</v>
      </c>
      <c r="D43" s="128">
        <v>202</v>
      </c>
      <c r="E43" s="128" t="s">
        <v>438</v>
      </c>
      <c r="F43" s="128" t="s">
        <v>600</v>
      </c>
      <c r="G43" s="128"/>
      <c r="H43" s="128" t="s">
        <v>435</v>
      </c>
      <c r="I43" s="128">
        <v>1</v>
      </c>
      <c r="J43" s="128" t="s">
        <v>440</v>
      </c>
      <c r="K43" s="129">
        <v>23.59</v>
      </c>
      <c r="L43" s="130" t="s">
        <v>603</v>
      </c>
      <c r="M43" s="128" t="s">
        <v>441</v>
      </c>
      <c r="N43" s="128" t="s">
        <v>442</v>
      </c>
      <c r="O43" s="128"/>
      <c r="P43" s="128"/>
      <c r="Q43" s="128"/>
      <c r="R43" s="128" t="s">
        <v>601</v>
      </c>
      <c r="S43" s="128" t="s">
        <v>444</v>
      </c>
      <c r="T43" s="128" t="s">
        <v>445</v>
      </c>
      <c r="U43" s="128"/>
      <c r="V43" s="128"/>
      <c r="W43" s="128" t="s">
        <v>439</v>
      </c>
      <c r="X43" s="128"/>
      <c r="Y43" s="128" t="s">
        <v>602</v>
      </c>
      <c r="Z43" s="128" t="s">
        <v>76</v>
      </c>
      <c r="AA43" s="128" t="s">
        <v>28</v>
      </c>
      <c r="AB43" s="128" t="s">
        <v>18</v>
      </c>
      <c r="AC43" s="128">
        <v>10549</v>
      </c>
      <c r="AD43" s="128" t="s">
        <v>446</v>
      </c>
      <c r="AE43" s="128">
        <v>2401796523</v>
      </c>
      <c r="AF43" s="128" t="s">
        <v>447</v>
      </c>
      <c r="AG43" s="128">
        <v>21</v>
      </c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>
        <v>86</v>
      </c>
      <c r="AX43" s="128"/>
      <c r="AY43" s="128" t="s">
        <v>439</v>
      </c>
      <c r="AZ43" s="128">
        <v>11</v>
      </c>
      <c r="BA43" s="128" t="s">
        <v>448</v>
      </c>
      <c r="BB43" s="128"/>
      <c r="BC43" s="128" t="s">
        <v>449</v>
      </c>
      <c r="BD43" s="128">
        <v>24</v>
      </c>
    </row>
    <row r="44" spans="1:56" s="18" customFormat="1" x14ac:dyDescent="0.2">
      <c r="A44" s="128">
        <v>23</v>
      </c>
      <c r="B44" s="128" t="s">
        <v>436</v>
      </c>
      <c r="C44" s="128" t="s">
        <v>437</v>
      </c>
      <c r="D44" s="128">
        <v>202</v>
      </c>
      <c r="E44" s="128" t="s">
        <v>438</v>
      </c>
      <c r="F44" s="128" t="s">
        <v>604</v>
      </c>
      <c r="G44" s="128"/>
      <c r="H44" s="128" t="s">
        <v>435</v>
      </c>
      <c r="I44" s="128">
        <v>1</v>
      </c>
      <c r="J44" s="128" t="s">
        <v>440</v>
      </c>
      <c r="K44" s="129">
        <v>29.03</v>
      </c>
      <c r="L44" s="130" t="s">
        <v>603</v>
      </c>
      <c r="M44" s="128" t="s">
        <v>441</v>
      </c>
      <c r="N44" s="128" t="s">
        <v>442</v>
      </c>
      <c r="O44" s="128"/>
      <c r="P44" s="128"/>
      <c r="Q44" s="128"/>
      <c r="R44" s="128" t="s">
        <v>605</v>
      </c>
      <c r="S44" s="128" t="s">
        <v>444</v>
      </c>
      <c r="T44" s="128" t="s">
        <v>445</v>
      </c>
      <c r="U44" s="128"/>
      <c r="V44" s="128"/>
      <c r="W44" s="128" t="s">
        <v>439</v>
      </c>
      <c r="X44" s="128"/>
      <c r="Y44" s="128" t="s">
        <v>606</v>
      </c>
      <c r="Z44" s="128" t="s">
        <v>77</v>
      </c>
      <c r="AA44" s="128" t="s">
        <v>50</v>
      </c>
      <c r="AB44" s="128" t="s">
        <v>18</v>
      </c>
      <c r="AC44" s="128">
        <v>10507</v>
      </c>
      <c r="AD44" s="128" t="s">
        <v>446</v>
      </c>
      <c r="AE44" s="128">
        <v>2400334185</v>
      </c>
      <c r="AF44" s="128" t="s">
        <v>447</v>
      </c>
      <c r="AG44" s="128">
        <v>21</v>
      </c>
      <c r="AH44" s="128"/>
      <c r="AI44" s="128"/>
      <c r="AJ44" s="128"/>
      <c r="AK44" s="128"/>
      <c r="AL44" s="128"/>
      <c r="AM44" s="128"/>
      <c r="AN44" s="128"/>
      <c r="AO44" s="128"/>
      <c r="AP44" s="128"/>
      <c r="AQ44" s="128"/>
      <c r="AR44" s="128"/>
      <c r="AS44" s="128"/>
      <c r="AT44" s="128"/>
      <c r="AU44" s="128"/>
      <c r="AV44" s="128"/>
      <c r="AW44" s="128">
        <v>86</v>
      </c>
      <c r="AX44" s="128"/>
      <c r="AY44" s="128" t="s">
        <v>439</v>
      </c>
      <c r="AZ44" s="128">
        <v>12</v>
      </c>
      <c r="BA44" s="128" t="s">
        <v>448</v>
      </c>
      <c r="BB44" s="128"/>
      <c r="BC44" s="128" t="s">
        <v>449</v>
      </c>
      <c r="BD44" s="128">
        <v>25</v>
      </c>
    </row>
    <row r="45" spans="1:56" s="18" customFormat="1" x14ac:dyDescent="0.2">
      <c r="A45" s="128">
        <v>23</v>
      </c>
      <c r="B45" s="128" t="s">
        <v>436</v>
      </c>
      <c r="C45" s="128" t="s">
        <v>437</v>
      </c>
      <c r="D45" s="128">
        <v>202</v>
      </c>
      <c r="E45" s="128" t="s">
        <v>438</v>
      </c>
      <c r="F45" s="128" t="s">
        <v>607</v>
      </c>
      <c r="G45" s="128"/>
      <c r="H45" s="128" t="s">
        <v>435</v>
      </c>
      <c r="I45" s="128">
        <v>1</v>
      </c>
      <c r="J45" s="128" t="s">
        <v>440</v>
      </c>
      <c r="K45" s="129">
        <v>29.03</v>
      </c>
      <c r="L45" s="130" t="s">
        <v>603</v>
      </c>
      <c r="M45" s="128" t="s">
        <v>441</v>
      </c>
      <c r="N45" s="128" t="s">
        <v>442</v>
      </c>
      <c r="O45" s="128"/>
      <c r="P45" s="128"/>
      <c r="Q45" s="128"/>
      <c r="R45" s="128" t="s">
        <v>608</v>
      </c>
      <c r="S45" s="128" t="s">
        <v>444</v>
      </c>
      <c r="T45" s="128" t="s">
        <v>445</v>
      </c>
      <c r="U45" s="128"/>
      <c r="V45" s="128"/>
      <c r="W45" s="128" t="s">
        <v>439</v>
      </c>
      <c r="X45" s="128"/>
      <c r="Y45" s="128" t="s">
        <v>609</v>
      </c>
      <c r="Z45" s="128" t="s">
        <v>78</v>
      </c>
      <c r="AA45" s="128" t="s">
        <v>70</v>
      </c>
      <c r="AB45" s="128" t="s">
        <v>18</v>
      </c>
      <c r="AC45" s="128">
        <v>10080</v>
      </c>
      <c r="AD45" s="128" t="s">
        <v>446</v>
      </c>
      <c r="AE45" s="128">
        <v>2400470905</v>
      </c>
      <c r="AF45" s="128" t="s">
        <v>447</v>
      </c>
      <c r="AG45" s="128">
        <v>21</v>
      </c>
      <c r="AH45" s="128"/>
      <c r="AI45" s="128"/>
      <c r="AJ45" s="128"/>
      <c r="AK45" s="128"/>
      <c r="AL45" s="128"/>
      <c r="AM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>
        <v>86</v>
      </c>
      <c r="AX45" s="128"/>
      <c r="AY45" s="128" t="s">
        <v>439</v>
      </c>
      <c r="AZ45" s="128">
        <v>12</v>
      </c>
      <c r="BA45" s="128" t="s">
        <v>448</v>
      </c>
      <c r="BB45" s="128"/>
      <c r="BC45" s="128" t="s">
        <v>449</v>
      </c>
      <c r="BD45" s="128">
        <v>26</v>
      </c>
    </row>
    <row r="46" spans="1:56" s="18" customFormat="1" ht="14.25" customHeight="1" x14ac:dyDescent="0.2">
      <c r="A46" s="128">
        <v>23</v>
      </c>
      <c r="B46" s="128" t="s">
        <v>436</v>
      </c>
      <c r="C46" s="128" t="s">
        <v>437</v>
      </c>
      <c r="D46" s="128">
        <v>202</v>
      </c>
      <c r="E46" s="128" t="s">
        <v>438</v>
      </c>
      <c r="F46" s="128" t="s">
        <v>610</v>
      </c>
      <c r="G46" s="128"/>
      <c r="H46" s="128" t="s">
        <v>435</v>
      </c>
      <c r="I46" s="128">
        <v>1</v>
      </c>
      <c r="J46" s="128" t="s">
        <v>440</v>
      </c>
      <c r="K46" s="129">
        <v>25.4</v>
      </c>
      <c r="L46" s="130" t="s">
        <v>603</v>
      </c>
      <c r="M46" s="128" t="s">
        <v>441</v>
      </c>
      <c r="N46" s="128" t="s">
        <v>442</v>
      </c>
      <c r="O46" s="128"/>
      <c r="P46" s="128"/>
      <c r="Q46" s="128"/>
      <c r="R46" s="128" t="s">
        <v>611</v>
      </c>
      <c r="S46" s="128" t="s">
        <v>444</v>
      </c>
      <c r="T46" s="128" t="s">
        <v>445</v>
      </c>
      <c r="U46" s="128"/>
      <c r="V46" s="128"/>
      <c r="W46" s="128" t="s">
        <v>439</v>
      </c>
      <c r="X46" s="128"/>
      <c r="Y46" s="128" t="s">
        <v>612</v>
      </c>
      <c r="Z46" s="128" t="s">
        <v>79</v>
      </c>
      <c r="AA46" s="128" t="s">
        <v>28</v>
      </c>
      <c r="AB46" s="128" t="s">
        <v>18</v>
      </c>
      <c r="AC46" s="128">
        <v>10549</v>
      </c>
      <c r="AD46" s="128" t="s">
        <v>446</v>
      </c>
      <c r="AE46" s="128">
        <v>2401379782</v>
      </c>
      <c r="AF46" s="128" t="s">
        <v>447</v>
      </c>
      <c r="AG46" s="128">
        <v>21</v>
      </c>
      <c r="AH46" s="128"/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>
        <v>86</v>
      </c>
      <c r="AX46" s="128"/>
      <c r="AY46" s="128" t="s">
        <v>439</v>
      </c>
      <c r="AZ46" s="128">
        <v>11</v>
      </c>
      <c r="BA46" s="128" t="s">
        <v>448</v>
      </c>
      <c r="BB46" s="128"/>
      <c r="BC46" s="128" t="s">
        <v>449</v>
      </c>
      <c r="BD46" s="128">
        <v>27</v>
      </c>
    </row>
    <row r="47" spans="1:56" s="18" customFormat="1" x14ac:dyDescent="0.2">
      <c r="A47" s="128">
        <v>23</v>
      </c>
      <c r="B47" s="128" t="s">
        <v>436</v>
      </c>
      <c r="C47" s="128" t="s">
        <v>437</v>
      </c>
      <c r="D47" s="128">
        <v>202</v>
      </c>
      <c r="E47" s="128" t="s">
        <v>438</v>
      </c>
      <c r="F47" s="128" t="s">
        <v>613</v>
      </c>
      <c r="G47" s="128"/>
      <c r="H47" s="128" t="s">
        <v>435</v>
      </c>
      <c r="I47" s="128">
        <v>1</v>
      </c>
      <c r="J47" s="128" t="s">
        <v>440</v>
      </c>
      <c r="K47" s="129">
        <v>5.9</v>
      </c>
      <c r="L47" s="130" t="s">
        <v>557</v>
      </c>
      <c r="M47" s="128" t="s">
        <v>441</v>
      </c>
      <c r="N47" s="128" t="s">
        <v>442</v>
      </c>
      <c r="O47" s="128"/>
      <c r="P47" s="128"/>
      <c r="Q47" s="128"/>
      <c r="R47" s="128" t="s">
        <v>614</v>
      </c>
      <c r="S47" s="128" t="s">
        <v>444</v>
      </c>
      <c r="T47" s="128" t="s">
        <v>445</v>
      </c>
      <c r="U47" s="128"/>
      <c r="V47" s="128"/>
      <c r="W47" s="128" t="s">
        <v>439</v>
      </c>
      <c r="X47" s="128"/>
      <c r="Y47" s="128" t="s">
        <v>559</v>
      </c>
      <c r="Z47" s="128" t="s">
        <v>80</v>
      </c>
      <c r="AA47" s="128" t="s">
        <v>28</v>
      </c>
      <c r="AB47" s="128" t="s">
        <v>18</v>
      </c>
      <c r="AC47" s="128">
        <v>10549</v>
      </c>
      <c r="AD47" s="128" t="s">
        <v>446</v>
      </c>
      <c r="AE47" s="128">
        <v>2401396892</v>
      </c>
      <c r="AF47" s="128" t="s">
        <v>447</v>
      </c>
      <c r="AG47" s="128">
        <v>21</v>
      </c>
      <c r="AH47" s="128"/>
      <c r="AI47" s="128"/>
      <c r="AJ47" s="128"/>
      <c r="AK47" s="128"/>
      <c r="AL47" s="128"/>
      <c r="AM47" s="128"/>
      <c r="AN47" s="128"/>
      <c r="AO47" s="128"/>
      <c r="AP47" s="128"/>
      <c r="AQ47" s="128"/>
      <c r="AR47" s="128"/>
      <c r="AS47" s="128"/>
      <c r="AT47" s="128"/>
      <c r="AU47" s="128"/>
      <c r="AV47" s="128"/>
      <c r="AW47" s="128">
        <v>86</v>
      </c>
      <c r="AX47" s="128"/>
      <c r="AY47" s="128" t="s">
        <v>439</v>
      </c>
      <c r="AZ47" s="128">
        <v>7</v>
      </c>
      <c r="BA47" s="128" t="s">
        <v>448</v>
      </c>
      <c r="BB47" s="128"/>
      <c r="BC47" s="128" t="s">
        <v>449</v>
      </c>
      <c r="BD47" s="128">
        <v>28</v>
      </c>
    </row>
    <row r="48" spans="1:56" s="18" customFormat="1" x14ac:dyDescent="0.2">
      <c r="A48" s="128">
        <v>23</v>
      </c>
      <c r="B48" s="128" t="s">
        <v>436</v>
      </c>
      <c r="C48" s="128" t="s">
        <v>437</v>
      </c>
      <c r="D48" s="128">
        <v>202</v>
      </c>
      <c r="E48" s="128" t="s">
        <v>438</v>
      </c>
      <c r="F48" s="128" t="s">
        <v>615</v>
      </c>
      <c r="G48" s="128"/>
      <c r="H48" s="128" t="s">
        <v>435</v>
      </c>
      <c r="I48" s="128">
        <v>1</v>
      </c>
      <c r="J48" s="128" t="s">
        <v>440</v>
      </c>
      <c r="K48" s="129">
        <v>9.5299999999999994</v>
      </c>
      <c r="L48" s="130" t="s">
        <v>618</v>
      </c>
      <c r="M48" s="128" t="s">
        <v>441</v>
      </c>
      <c r="N48" s="128" t="s">
        <v>442</v>
      </c>
      <c r="O48" s="128"/>
      <c r="P48" s="128"/>
      <c r="Q48" s="128"/>
      <c r="R48" s="128" t="s">
        <v>616</v>
      </c>
      <c r="S48" s="128" t="s">
        <v>444</v>
      </c>
      <c r="T48" s="128" t="s">
        <v>445</v>
      </c>
      <c r="U48" s="128"/>
      <c r="V48" s="128"/>
      <c r="W48" s="128" t="s">
        <v>439</v>
      </c>
      <c r="X48" s="128"/>
      <c r="Y48" s="128" t="s">
        <v>617</v>
      </c>
      <c r="Z48" s="128" t="s">
        <v>81</v>
      </c>
      <c r="AA48" s="128" t="s">
        <v>50</v>
      </c>
      <c r="AB48" s="128" t="s">
        <v>18</v>
      </c>
      <c r="AC48" s="128">
        <v>10509</v>
      </c>
      <c r="AD48" s="128" t="s">
        <v>446</v>
      </c>
      <c r="AE48" s="128">
        <v>2405517769</v>
      </c>
      <c r="AF48" s="128" t="s">
        <v>447</v>
      </c>
      <c r="AG48" s="128">
        <v>21</v>
      </c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>
        <v>86</v>
      </c>
      <c r="AX48" s="128"/>
      <c r="AY48" s="128" t="s">
        <v>439</v>
      </c>
      <c r="AZ48" s="128">
        <v>8</v>
      </c>
      <c r="BA48" s="128" t="s">
        <v>448</v>
      </c>
      <c r="BB48" s="128"/>
      <c r="BC48" s="128" t="s">
        <v>449</v>
      </c>
      <c r="BD48" s="128">
        <v>29</v>
      </c>
    </row>
    <row r="49" spans="1:56" s="18" customFormat="1" ht="15" customHeight="1" x14ac:dyDescent="0.2">
      <c r="A49" s="128">
        <v>23</v>
      </c>
      <c r="B49" s="128" t="s">
        <v>436</v>
      </c>
      <c r="C49" s="128" t="s">
        <v>437</v>
      </c>
      <c r="D49" s="128">
        <v>202</v>
      </c>
      <c r="E49" s="128" t="s">
        <v>438</v>
      </c>
      <c r="F49" s="128" t="s">
        <v>619</v>
      </c>
      <c r="G49" s="128"/>
      <c r="H49" s="128" t="s">
        <v>435</v>
      </c>
      <c r="I49" s="128">
        <v>1</v>
      </c>
      <c r="J49" s="128" t="s">
        <v>440</v>
      </c>
      <c r="K49" s="129">
        <v>9.5299999999999994</v>
      </c>
      <c r="L49" s="130" t="s">
        <v>618</v>
      </c>
      <c r="M49" s="128" t="s">
        <v>441</v>
      </c>
      <c r="N49" s="128" t="s">
        <v>442</v>
      </c>
      <c r="O49" s="128"/>
      <c r="P49" s="128"/>
      <c r="Q49" s="128"/>
      <c r="R49" s="128" t="s">
        <v>620</v>
      </c>
      <c r="S49" s="128" t="s">
        <v>444</v>
      </c>
      <c r="T49" s="128" t="s">
        <v>445</v>
      </c>
      <c r="U49" s="128"/>
      <c r="V49" s="128"/>
      <c r="W49" s="128" t="s">
        <v>439</v>
      </c>
      <c r="X49" s="128"/>
      <c r="Y49" s="128" t="s">
        <v>621</v>
      </c>
      <c r="Z49" s="128" t="s">
        <v>82</v>
      </c>
      <c r="AA49" s="128" t="s">
        <v>28</v>
      </c>
      <c r="AB49" s="128" t="s">
        <v>18</v>
      </c>
      <c r="AC49" s="128">
        <v>10549</v>
      </c>
      <c r="AD49" s="128" t="s">
        <v>446</v>
      </c>
      <c r="AE49" s="128">
        <v>2408445675</v>
      </c>
      <c r="AF49" s="128" t="s">
        <v>447</v>
      </c>
      <c r="AG49" s="128">
        <v>21</v>
      </c>
      <c r="AH49" s="128"/>
      <c r="AI49" s="128"/>
      <c r="AJ49" s="128"/>
      <c r="AK49" s="128"/>
      <c r="AL49" s="128"/>
      <c r="AM49" s="128"/>
      <c r="AN49" s="128"/>
      <c r="AO49" s="128"/>
      <c r="AP49" s="128"/>
      <c r="AQ49" s="128"/>
      <c r="AR49" s="128"/>
      <c r="AS49" s="128"/>
      <c r="AT49" s="128"/>
      <c r="AU49" s="128"/>
      <c r="AV49" s="128"/>
      <c r="AW49" s="128">
        <v>86</v>
      </c>
      <c r="AX49" s="128"/>
      <c r="AY49" s="128" t="s">
        <v>439</v>
      </c>
      <c r="AZ49" s="128">
        <v>8</v>
      </c>
      <c r="BA49" s="128" t="s">
        <v>448</v>
      </c>
      <c r="BB49" s="128"/>
      <c r="BC49" s="128" t="s">
        <v>449</v>
      </c>
      <c r="BD49" s="128">
        <v>30</v>
      </c>
    </row>
    <row r="50" spans="1:56" ht="15.75" customHeight="1" x14ac:dyDescent="0.2">
      <c r="A50" s="128">
        <v>23</v>
      </c>
      <c r="B50" s="128" t="s">
        <v>436</v>
      </c>
      <c r="C50" s="128" t="s">
        <v>437</v>
      </c>
      <c r="D50" s="128">
        <v>202</v>
      </c>
      <c r="E50" s="128" t="s">
        <v>438</v>
      </c>
      <c r="F50" s="128" t="s">
        <v>622</v>
      </c>
      <c r="G50" s="128"/>
      <c r="H50" s="128" t="s">
        <v>435</v>
      </c>
      <c r="I50" s="128">
        <v>1</v>
      </c>
      <c r="J50" s="128" t="s">
        <v>440</v>
      </c>
      <c r="K50" s="129">
        <v>9.98</v>
      </c>
      <c r="L50" s="130" t="s">
        <v>618</v>
      </c>
      <c r="M50" s="128" t="s">
        <v>441</v>
      </c>
      <c r="N50" s="128" t="s">
        <v>442</v>
      </c>
      <c r="O50" s="128"/>
      <c r="P50" s="128"/>
      <c r="Q50" s="128"/>
      <c r="R50" s="128" t="s">
        <v>623</v>
      </c>
      <c r="S50" s="128" t="s">
        <v>444</v>
      </c>
      <c r="T50" s="128" t="s">
        <v>445</v>
      </c>
      <c r="U50" s="128"/>
      <c r="V50" s="128"/>
      <c r="W50" s="128" t="s">
        <v>439</v>
      </c>
      <c r="X50" s="128"/>
      <c r="Y50" s="128" t="s">
        <v>624</v>
      </c>
      <c r="Z50" s="128" t="s">
        <v>83</v>
      </c>
      <c r="AA50" s="128" t="s">
        <v>28</v>
      </c>
      <c r="AB50" s="128" t="s">
        <v>18</v>
      </c>
      <c r="AC50" s="128">
        <v>10549</v>
      </c>
      <c r="AD50" s="128" t="s">
        <v>446</v>
      </c>
      <c r="AE50" s="128">
        <v>2402135584</v>
      </c>
      <c r="AF50" s="128" t="s">
        <v>447</v>
      </c>
      <c r="AG50" s="128">
        <v>21</v>
      </c>
      <c r="AH50" s="128"/>
      <c r="AI50" s="128"/>
      <c r="AJ50" s="128"/>
      <c r="AK50" s="128"/>
      <c r="AL50" s="128"/>
      <c r="AM50" s="128"/>
      <c r="AN50" s="128"/>
      <c r="AO50" s="128"/>
      <c r="AP50" s="128"/>
      <c r="AQ50" s="128"/>
      <c r="AR50" s="128"/>
      <c r="AS50" s="128"/>
      <c r="AT50" s="128"/>
      <c r="AU50" s="128"/>
      <c r="AV50" s="128"/>
      <c r="AW50" s="128">
        <v>86</v>
      </c>
      <c r="AX50" s="128"/>
      <c r="AY50" s="128" t="s">
        <v>439</v>
      </c>
      <c r="AZ50" s="128">
        <v>8</v>
      </c>
      <c r="BA50" s="128" t="s">
        <v>448</v>
      </c>
      <c r="BB50" s="128"/>
      <c r="BC50" s="128" t="s">
        <v>449</v>
      </c>
      <c r="BD50" s="128">
        <v>31</v>
      </c>
    </row>
    <row r="51" spans="1:56" x14ac:dyDescent="0.2">
      <c r="A51" s="128">
        <v>23</v>
      </c>
      <c r="B51" s="128" t="s">
        <v>436</v>
      </c>
      <c r="C51" s="128" t="s">
        <v>437</v>
      </c>
      <c r="D51" s="128">
        <v>202</v>
      </c>
      <c r="E51" s="128" t="s">
        <v>438</v>
      </c>
      <c r="F51" s="128" t="s">
        <v>625</v>
      </c>
      <c r="G51" s="128"/>
      <c r="H51" s="128" t="s">
        <v>435</v>
      </c>
      <c r="I51" s="128">
        <v>1</v>
      </c>
      <c r="J51" s="128" t="s">
        <v>440</v>
      </c>
      <c r="K51" s="129">
        <v>19.05</v>
      </c>
      <c r="L51" s="130" t="s">
        <v>628</v>
      </c>
      <c r="M51" s="128" t="s">
        <v>441</v>
      </c>
      <c r="N51" s="128" t="s">
        <v>442</v>
      </c>
      <c r="O51" s="128"/>
      <c r="P51" s="128"/>
      <c r="Q51" s="128"/>
      <c r="R51" s="128" t="s">
        <v>626</v>
      </c>
      <c r="S51" s="128" t="s">
        <v>444</v>
      </c>
      <c r="T51" s="128" t="s">
        <v>445</v>
      </c>
      <c r="U51" s="128"/>
      <c r="V51" s="128"/>
      <c r="W51" s="128" t="s">
        <v>439</v>
      </c>
      <c r="X51" s="128"/>
      <c r="Y51" s="128" t="s">
        <v>627</v>
      </c>
      <c r="Z51" s="128" t="s">
        <v>84</v>
      </c>
      <c r="AA51" s="128" t="s">
        <v>28</v>
      </c>
      <c r="AB51" s="128" t="s">
        <v>18</v>
      </c>
      <c r="AC51" s="128">
        <v>10549</v>
      </c>
      <c r="AD51" s="128" t="s">
        <v>446</v>
      </c>
      <c r="AE51" s="128">
        <v>2403057462</v>
      </c>
      <c r="AF51" s="128" t="s">
        <v>447</v>
      </c>
      <c r="AG51" s="128">
        <v>21</v>
      </c>
      <c r="AH51" s="128"/>
      <c r="AI51" s="128"/>
      <c r="AJ51" s="128"/>
      <c r="AK51" s="128"/>
      <c r="AL51" s="128"/>
      <c r="AM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>
        <v>86</v>
      </c>
      <c r="AX51" s="128"/>
      <c r="AY51" s="128" t="s">
        <v>439</v>
      </c>
      <c r="AZ51" s="128">
        <v>10</v>
      </c>
      <c r="BA51" s="128" t="s">
        <v>448</v>
      </c>
      <c r="BB51" s="128"/>
      <c r="BC51" s="128" t="s">
        <v>449</v>
      </c>
      <c r="BD51" s="128">
        <v>32</v>
      </c>
    </row>
    <row r="52" spans="1:56" x14ac:dyDescent="0.2">
      <c r="A52" s="128">
        <v>23</v>
      </c>
      <c r="B52" s="128" t="s">
        <v>436</v>
      </c>
      <c r="C52" s="128" t="s">
        <v>437</v>
      </c>
      <c r="D52" s="128">
        <v>202</v>
      </c>
      <c r="E52" s="128" t="s">
        <v>438</v>
      </c>
      <c r="F52" s="128" t="s">
        <v>629</v>
      </c>
      <c r="G52" s="128"/>
      <c r="H52" s="128" t="s">
        <v>435</v>
      </c>
      <c r="I52" s="128">
        <v>1</v>
      </c>
      <c r="J52" s="128" t="s">
        <v>440</v>
      </c>
      <c r="K52" s="129">
        <v>15.88</v>
      </c>
      <c r="L52" s="130" t="s">
        <v>632</v>
      </c>
      <c r="M52" s="128" t="s">
        <v>441</v>
      </c>
      <c r="N52" s="128" t="s">
        <v>442</v>
      </c>
      <c r="O52" s="128"/>
      <c r="P52" s="128"/>
      <c r="Q52" s="128"/>
      <c r="R52" s="128" t="s">
        <v>630</v>
      </c>
      <c r="S52" s="128" t="s">
        <v>444</v>
      </c>
      <c r="T52" s="128" t="s">
        <v>445</v>
      </c>
      <c r="U52" s="128"/>
      <c r="V52" s="128"/>
      <c r="W52" s="128" t="s">
        <v>439</v>
      </c>
      <c r="X52" s="128"/>
      <c r="Y52" s="128" t="s">
        <v>631</v>
      </c>
      <c r="Z52" s="128" t="s">
        <v>85</v>
      </c>
      <c r="AA52" s="128" t="s">
        <v>39</v>
      </c>
      <c r="AB52" s="128" t="s">
        <v>18</v>
      </c>
      <c r="AC52" s="128">
        <v>10549</v>
      </c>
      <c r="AD52" s="128" t="s">
        <v>446</v>
      </c>
      <c r="AE52" s="128">
        <v>2405447842</v>
      </c>
      <c r="AF52" s="128" t="s">
        <v>447</v>
      </c>
      <c r="AG52" s="128">
        <v>21</v>
      </c>
      <c r="AH52" s="128"/>
      <c r="AI52" s="128"/>
      <c r="AJ52" s="128"/>
      <c r="AK52" s="128"/>
      <c r="AL52" s="128"/>
      <c r="AM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>
        <v>86</v>
      </c>
      <c r="AX52" s="128"/>
      <c r="AY52" s="128" t="s">
        <v>439</v>
      </c>
      <c r="AZ52" s="128">
        <v>9</v>
      </c>
      <c r="BA52" s="128" t="s">
        <v>448</v>
      </c>
      <c r="BB52" s="128"/>
      <c r="BC52" s="128" t="s">
        <v>449</v>
      </c>
      <c r="BD52" s="128">
        <v>32</v>
      </c>
    </row>
    <row r="53" spans="1:56" x14ac:dyDescent="0.2">
      <c r="A53" s="128">
        <v>23</v>
      </c>
      <c r="B53" s="128" t="s">
        <v>436</v>
      </c>
      <c r="C53" s="128" t="s">
        <v>437</v>
      </c>
      <c r="D53" s="128">
        <v>202</v>
      </c>
      <c r="E53" s="128" t="s">
        <v>438</v>
      </c>
      <c r="F53" s="128" t="s">
        <v>633</v>
      </c>
      <c r="G53" s="128"/>
      <c r="H53" s="128" t="s">
        <v>435</v>
      </c>
      <c r="I53" s="128">
        <v>1</v>
      </c>
      <c r="J53" s="128" t="s">
        <v>440</v>
      </c>
      <c r="K53" s="129">
        <v>29.03</v>
      </c>
      <c r="L53" s="130" t="s">
        <v>603</v>
      </c>
      <c r="M53" s="128" t="s">
        <v>441</v>
      </c>
      <c r="N53" s="128" t="s">
        <v>442</v>
      </c>
      <c r="O53" s="128"/>
      <c r="P53" s="128"/>
      <c r="Q53" s="128"/>
      <c r="R53" s="128" t="s">
        <v>634</v>
      </c>
      <c r="S53" s="128" t="s">
        <v>444</v>
      </c>
      <c r="T53" s="128" t="s">
        <v>445</v>
      </c>
      <c r="U53" s="128"/>
      <c r="V53" s="128"/>
      <c r="W53" s="128" t="s">
        <v>439</v>
      </c>
      <c r="X53" s="128"/>
      <c r="Y53" s="128" t="s">
        <v>635</v>
      </c>
      <c r="Z53" s="128" t="s">
        <v>86</v>
      </c>
      <c r="AA53" s="128" t="s">
        <v>87</v>
      </c>
      <c r="AB53" s="128" t="s">
        <v>18</v>
      </c>
      <c r="AC53" s="128">
        <v>10514</v>
      </c>
      <c r="AD53" s="128" t="s">
        <v>446</v>
      </c>
      <c r="AE53" s="128">
        <v>9145200744</v>
      </c>
      <c r="AF53" s="128" t="s">
        <v>447</v>
      </c>
      <c r="AG53" s="128">
        <v>21</v>
      </c>
      <c r="AH53" s="128"/>
      <c r="AI53" s="128"/>
      <c r="AJ53" s="128"/>
      <c r="AK53" s="128"/>
      <c r="AL53" s="128"/>
      <c r="AM53" s="128"/>
      <c r="AN53" s="128"/>
      <c r="AO53" s="128"/>
      <c r="AP53" s="128"/>
      <c r="AQ53" s="128"/>
      <c r="AR53" s="128"/>
      <c r="AS53" s="128"/>
      <c r="AT53" s="128"/>
      <c r="AU53" s="128"/>
      <c r="AV53" s="128"/>
      <c r="AW53" s="128">
        <v>86</v>
      </c>
      <c r="AX53" s="128"/>
      <c r="AY53" s="128" t="s">
        <v>439</v>
      </c>
      <c r="AZ53" s="128">
        <v>12</v>
      </c>
      <c r="BA53" s="128" t="s">
        <v>448</v>
      </c>
      <c r="BB53" s="128"/>
      <c r="BC53" s="128" t="s">
        <v>449</v>
      </c>
      <c r="BD53" s="128">
        <v>33</v>
      </c>
    </row>
    <row r="54" spans="1:56" x14ac:dyDescent="0.2">
      <c r="A54" s="128">
        <v>23</v>
      </c>
      <c r="B54" s="128" t="s">
        <v>436</v>
      </c>
      <c r="C54" s="128" t="s">
        <v>437</v>
      </c>
      <c r="D54" s="128">
        <v>202</v>
      </c>
      <c r="E54" s="128" t="s">
        <v>438</v>
      </c>
      <c r="F54" s="128" t="s">
        <v>636</v>
      </c>
      <c r="G54" s="128"/>
      <c r="H54" s="128" t="s">
        <v>435</v>
      </c>
      <c r="I54" s="128">
        <v>1</v>
      </c>
      <c r="J54" s="128" t="s">
        <v>440</v>
      </c>
      <c r="K54" s="129">
        <v>6.35</v>
      </c>
      <c r="L54" s="130" t="s">
        <v>618</v>
      </c>
      <c r="M54" s="128" t="s">
        <v>441</v>
      </c>
      <c r="N54" s="128" t="s">
        <v>442</v>
      </c>
      <c r="O54" s="128"/>
      <c r="P54" s="128"/>
      <c r="Q54" s="128"/>
      <c r="R54" s="128" t="s">
        <v>637</v>
      </c>
      <c r="S54" s="128" t="s">
        <v>444</v>
      </c>
      <c r="T54" s="128" t="s">
        <v>445</v>
      </c>
      <c r="U54" s="128"/>
      <c r="V54" s="128"/>
      <c r="W54" s="128" t="s">
        <v>439</v>
      </c>
      <c r="X54" s="128"/>
      <c r="Y54" s="128" t="s">
        <v>638</v>
      </c>
      <c r="Z54" s="128" t="s">
        <v>88</v>
      </c>
      <c r="AA54" s="128" t="s">
        <v>26</v>
      </c>
      <c r="AB54" s="128" t="s">
        <v>18</v>
      </c>
      <c r="AC54" s="128">
        <v>10509</v>
      </c>
      <c r="AD54" s="128" t="s">
        <v>446</v>
      </c>
      <c r="AE54" s="128">
        <v>9147525741</v>
      </c>
      <c r="AF54" s="128" t="s">
        <v>447</v>
      </c>
      <c r="AG54" s="128">
        <v>21</v>
      </c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>
        <v>86</v>
      </c>
      <c r="AX54" s="128"/>
      <c r="AY54" s="128" t="s">
        <v>439</v>
      </c>
      <c r="AZ54" s="128">
        <v>7</v>
      </c>
      <c r="BA54" s="128" t="s">
        <v>448</v>
      </c>
      <c r="BB54" s="128"/>
      <c r="BC54" s="128" t="s">
        <v>449</v>
      </c>
      <c r="BD54" s="128">
        <v>34</v>
      </c>
    </row>
    <row r="55" spans="1:56" x14ac:dyDescent="0.2">
      <c r="A55" s="128">
        <v>23</v>
      </c>
      <c r="B55" s="128" t="s">
        <v>436</v>
      </c>
      <c r="C55" s="128" t="s">
        <v>437</v>
      </c>
      <c r="D55" s="128">
        <v>202</v>
      </c>
      <c r="E55" s="128" t="s">
        <v>438</v>
      </c>
      <c r="F55" s="128" t="s">
        <v>639</v>
      </c>
      <c r="G55" s="128"/>
      <c r="H55" s="128" t="s">
        <v>435</v>
      </c>
      <c r="I55" s="128">
        <v>1</v>
      </c>
      <c r="J55" s="128" t="s">
        <v>440</v>
      </c>
      <c r="K55" s="129">
        <v>15.88</v>
      </c>
      <c r="L55" s="130" t="s">
        <v>642</v>
      </c>
      <c r="M55" s="128" t="s">
        <v>441</v>
      </c>
      <c r="N55" s="128" t="s">
        <v>442</v>
      </c>
      <c r="O55" s="128"/>
      <c r="P55" s="128"/>
      <c r="Q55" s="128"/>
      <c r="R55" s="128" t="s">
        <v>640</v>
      </c>
      <c r="S55" s="128" t="s">
        <v>444</v>
      </c>
      <c r="T55" s="128" t="s">
        <v>445</v>
      </c>
      <c r="U55" s="128"/>
      <c r="V55" s="128"/>
      <c r="W55" s="128" t="s">
        <v>439</v>
      </c>
      <c r="X55" s="128"/>
      <c r="Y55" s="128" t="s">
        <v>641</v>
      </c>
      <c r="Z55" s="128" t="s">
        <v>90</v>
      </c>
      <c r="AA55" s="128" t="s">
        <v>28</v>
      </c>
      <c r="AB55" s="128" t="s">
        <v>18</v>
      </c>
      <c r="AC55" s="128">
        <v>10549</v>
      </c>
      <c r="AD55" s="128" t="s">
        <v>446</v>
      </c>
      <c r="AE55" s="128">
        <v>9157525746</v>
      </c>
      <c r="AF55" s="128" t="s">
        <v>447</v>
      </c>
      <c r="AG55" s="128">
        <v>21</v>
      </c>
      <c r="AH55" s="128"/>
      <c r="AI55" s="128"/>
      <c r="AJ55" s="128"/>
      <c r="AK55" s="128"/>
      <c r="AL55" s="128"/>
      <c r="AM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>
        <v>86</v>
      </c>
      <c r="AX55" s="128"/>
      <c r="AY55" s="128" t="s">
        <v>439</v>
      </c>
      <c r="AZ55" s="128">
        <v>9</v>
      </c>
      <c r="BA55" s="128" t="s">
        <v>448</v>
      </c>
      <c r="BB55" s="128"/>
      <c r="BC55" s="128" t="s">
        <v>449</v>
      </c>
      <c r="BD55" s="128">
        <v>35</v>
      </c>
    </row>
    <row r="56" spans="1:56" x14ac:dyDescent="0.2">
      <c r="A56" s="128">
        <v>23</v>
      </c>
      <c r="B56" s="128" t="s">
        <v>436</v>
      </c>
      <c r="C56" s="128" t="s">
        <v>437</v>
      </c>
      <c r="D56" s="128">
        <v>202</v>
      </c>
      <c r="E56" s="128" t="s">
        <v>438</v>
      </c>
      <c r="F56" s="128" t="s">
        <v>643</v>
      </c>
      <c r="G56" s="128"/>
      <c r="H56" s="128" t="s">
        <v>435</v>
      </c>
      <c r="I56" s="128">
        <v>1</v>
      </c>
      <c r="J56" s="128" t="s">
        <v>440</v>
      </c>
      <c r="K56" s="129">
        <v>20.41</v>
      </c>
      <c r="L56" s="130" t="s">
        <v>646</v>
      </c>
      <c r="M56" s="128" t="s">
        <v>441</v>
      </c>
      <c r="N56" s="128" t="s">
        <v>442</v>
      </c>
      <c r="O56" s="128"/>
      <c r="P56" s="128"/>
      <c r="Q56" s="128"/>
      <c r="R56" s="128" t="s">
        <v>644</v>
      </c>
      <c r="S56" s="128" t="s">
        <v>444</v>
      </c>
      <c r="T56" s="128" t="s">
        <v>445</v>
      </c>
      <c r="U56" s="128"/>
      <c r="V56" s="128"/>
      <c r="W56" s="128" t="s">
        <v>439</v>
      </c>
      <c r="X56" s="128"/>
      <c r="Y56" s="128" t="s">
        <v>645</v>
      </c>
      <c r="Z56" s="128" t="s">
        <v>91</v>
      </c>
      <c r="AA56" s="128" t="s">
        <v>26</v>
      </c>
      <c r="AB56" s="128" t="s">
        <v>18</v>
      </c>
      <c r="AC56" s="128">
        <v>10507</v>
      </c>
      <c r="AD56" s="128" t="s">
        <v>446</v>
      </c>
      <c r="AE56" s="128">
        <v>2401577895</v>
      </c>
      <c r="AF56" s="128" t="s">
        <v>447</v>
      </c>
      <c r="AG56" s="128">
        <v>21</v>
      </c>
      <c r="AH56" s="128"/>
      <c r="AI56" s="128"/>
      <c r="AJ56" s="128"/>
      <c r="AK56" s="128"/>
      <c r="AL56" s="128"/>
      <c r="AM56" s="128"/>
      <c r="AN56" s="128"/>
      <c r="AO56" s="128"/>
      <c r="AP56" s="128"/>
      <c r="AQ56" s="128"/>
      <c r="AR56" s="128"/>
      <c r="AS56" s="128"/>
      <c r="AT56" s="128"/>
      <c r="AU56" s="128"/>
      <c r="AV56" s="128"/>
      <c r="AW56" s="128">
        <v>86</v>
      </c>
      <c r="AX56" s="128"/>
      <c r="AY56" s="128" t="s">
        <v>439</v>
      </c>
      <c r="AZ56" s="128">
        <v>10</v>
      </c>
      <c r="BA56" s="128" t="s">
        <v>448</v>
      </c>
      <c r="BB56" s="128"/>
      <c r="BC56" s="128" t="s">
        <v>449</v>
      </c>
      <c r="BD56" s="128">
        <v>35</v>
      </c>
    </row>
    <row r="57" spans="1:56" x14ac:dyDescent="0.2">
      <c r="A57" s="128">
        <v>23</v>
      </c>
      <c r="B57" s="128" t="s">
        <v>436</v>
      </c>
      <c r="C57" s="128" t="s">
        <v>437</v>
      </c>
      <c r="D57" s="128">
        <v>202</v>
      </c>
      <c r="E57" s="128" t="s">
        <v>438</v>
      </c>
      <c r="F57" s="128" t="s">
        <v>647</v>
      </c>
      <c r="G57" s="128"/>
      <c r="H57" s="128" t="s">
        <v>435</v>
      </c>
      <c r="I57" s="128">
        <v>1</v>
      </c>
      <c r="J57" s="128" t="s">
        <v>440</v>
      </c>
      <c r="K57" s="129">
        <v>22.68</v>
      </c>
      <c r="L57" s="130" t="s">
        <v>650</v>
      </c>
      <c r="M57" s="128" t="s">
        <v>441</v>
      </c>
      <c r="N57" s="128" t="s">
        <v>442</v>
      </c>
      <c r="O57" s="128"/>
      <c r="P57" s="128"/>
      <c r="Q57" s="128"/>
      <c r="R57" s="128" t="s">
        <v>648</v>
      </c>
      <c r="S57" s="128" t="s">
        <v>444</v>
      </c>
      <c r="T57" s="128" t="s">
        <v>445</v>
      </c>
      <c r="U57" s="128"/>
      <c r="V57" s="128"/>
      <c r="W57" s="128" t="s">
        <v>439</v>
      </c>
      <c r="X57" s="128"/>
      <c r="Y57" s="128" t="s">
        <v>649</v>
      </c>
      <c r="Z57" s="128" t="s">
        <v>92</v>
      </c>
      <c r="AA57" s="128" t="s">
        <v>28</v>
      </c>
      <c r="AB57" s="128" t="s">
        <v>18</v>
      </c>
      <c r="AC57" s="128">
        <v>10509</v>
      </c>
      <c r="AD57" s="128" t="s">
        <v>446</v>
      </c>
      <c r="AE57" s="128">
        <v>2405579142</v>
      </c>
      <c r="AF57" s="128" t="s">
        <v>447</v>
      </c>
      <c r="AG57" s="128">
        <v>21</v>
      </c>
      <c r="AH57" s="128"/>
      <c r="AI57" s="128"/>
      <c r="AJ57" s="128"/>
      <c r="AK57" s="128"/>
      <c r="AL57" s="128"/>
      <c r="AM57" s="128"/>
      <c r="AN57" s="128"/>
      <c r="AO57" s="128"/>
      <c r="AP57" s="128"/>
      <c r="AQ57" s="128"/>
      <c r="AR57" s="128"/>
      <c r="AS57" s="128"/>
      <c r="AT57" s="128"/>
      <c r="AU57" s="128"/>
      <c r="AV57" s="128"/>
      <c r="AW57" s="128">
        <v>86</v>
      </c>
      <c r="AX57" s="128"/>
      <c r="AY57" s="128" t="s">
        <v>439</v>
      </c>
      <c r="AZ57" s="128">
        <v>11</v>
      </c>
      <c r="BA57" s="128" t="s">
        <v>448</v>
      </c>
      <c r="BB57" s="128"/>
      <c r="BC57" s="128" t="s">
        <v>449</v>
      </c>
      <c r="BD57" s="128">
        <v>36</v>
      </c>
    </row>
    <row r="58" spans="1:56" x14ac:dyDescent="0.2">
      <c r="A58" s="128">
        <v>23</v>
      </c>
      <c r="B58" s="128" t="s">
        <v>436</v>
      </c>
      <c r="C58" s="128" t="s">
        <v>437</v>
      </c>
      <c r="D58" s="128">
        <v>202</v>
      </c>
      <c r="E58" s="128" t="s">
        <v>438</v>
      </c>
      <c r="F58" s="128" t="s">
        <v>662</v>
      </c>
      <c r="G58" s="128"/>
      <c r="H58" s="128" t="s">
        <v>435</v>
      </c>
      <c r="I58" s="128">
        <v>1</v>
      </c>
      <c r="J58" s="128" t="s">
        <v>440</v>
      </c>
      <c r="K58" s="129">
        <v>15.88</v>
      </c>
      <c r="L58" s="130" t="s">
        <v>665</v>
      </c>
      <c r="M58" s="128" t="s">
        <v>441</v>
      </c>
      <c r="N58" s="128" t="s">
        <v>442</v>
      </c>
      <c r="O58" s="128"/>
      <c r="P58" s="128"/>
      <c r="Q58" s="128"/>
      <c r="R58" s="128" t="s">
        <v>663</v>
      </c>
      <c r="S58" s="128" t="s">
        <v>444</v>
      </c>
      <c r="T58" s="128" t="s">
        <v>445</v>
      </c>
      <c r="U58" s="128"/>
      <c r="V58" s="128"/>
      <c r="W58" s="128" t="s">
        <v>439</v>
      </c>
      <c r="X58" s="128"/>
      <c r="Y58" s="128" t="s">
        <v>664</v>
      </c>
      <c r="Z58" s="128" t="s">
        <v>96</v>
      </c>
      <c r="AA58" s="128" t="s">
        <v>28</v>
      </c>
      <c r="AB58" s="128" t="s">
        <v>18</v>
      </c>
      <c r="AC58" s="128">
        <v>10549</v>
      </c>
      <c r="AD58" s="128" t="s">
        <v>446</v>
      </c>
      <c r="AE58" s="128">
        <v>2401009452</v>
      </c>
      <c r="AF58" s="128" t="s">
        <v>447</v>
      </c>
      <c r="AG58" s="128">
        <v>21</v>
      </c>
      <c r="AH58" s="128"/>
      <c r="AI58" s="128"/>
      <c r="AJ58" s="128"/>
      <c r="AK58" s="128"/>
      <c r="AL58" s="128"/>
      <c r="AM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>
        <v>86</v>
      </c>
      <c r="AX58" s="128"/>
      <c r="AY58" s="128" t="s">
        <v>439</v>
      </c>
      <c r="AZ58" s="128">
        <v>9</v>
      </c>
      <c r="BA58" s="128" t="s">
        <v>448</v>
      </c>
      <c r="BB58" s="128"/>
      <c r="BC58" s="128" t="s">
        <v>449</v>
      </c>
      <c r="BD58" s="128">
        <v>36</v>
      </c>
    </row>
    <row r="59" spans="1:56" ht="15.75" customHeight="1" x14ac:dyDescent="0.2">
      <c r="A59" s="128">
        <v>23</v>
      </c>
      <c r="B59" s="128" t="s">
        <v>436</v>
      </c>
      <c r="C59" s="128" t="s">
        <v>437</v>
      </c>
      <c r="D59" s="128">
        <v>202</v>
      </c>
      <c r="E59" s="128" t="s">
        <v>438</v>
      </c>
      <c r="F59" s="128" t="s">
        <v>666</v>
      </c>
      <c r="G59" s="128"/>
      <c r="H59" s="128" t="s">
        <v>435</v>
      </c>
      <c r="I59" s="128">
        <v>1</v>
      </c>
      <c r="J59" s="128" t="s">
        <v>440</v>
      </c>
      <c r="K59" s="129">
        <v>22.68</v>
      </c>
      <c r="L59" s="130" t="s">
        <v>670</v>
      </c>
      <c r="M59" s="128" t="s">
        <v>441</v>
      </c>
      <c r="N59" s="128" t="s">
        <v>442</v>
      </c>
      <c r="O59" s="128"/>
      <c r="P59" s="128"/>
      <c r="Q59" s="128"/>
      <c r="R59" s="128" t="s">
        <v>667</v>
      </c>
      <c r="S59" s="128" t="s">
        <v>444</v>
      </c>
      <c r="T59" s="128" t="s">
        <v>445</v>
      </c>
      <c r="U59" s="128"/>
      <c r="V59" s="128"/>
      <c r="W59" s="128" t="s">
        <v>439</v>
      </c>
      <c r="X59" s="128"/>
      <c r="Y59" s="128" t="s">
        <v>668</v>
      </c>
      <c r="Z59" s="128" t="s">
        <v>97</v>
      </c>
      <c r="AA59" s="128" t="s">
        <v>26</v>
      </c>
      <c r="AB59" s="128" t="s">
        <v>18</v>
      </c>
      <c r="AC59" s="128">
        <v>10509</v>
      </c>
      <c r="AD59" s="128" t="s">
        <v>446</v>
      </c>
      <c r="AE59" s="128">
        <v>9143136294</v>
      </c>
      <c r="AF59" s="128" t="s">
        <v>447</v>
      </c>
      <c r="AG59" s="128">
        <v>21</v>
      </c>
      <c r="AH59" s="128"/>
      <c r="AI59" s="128"/>
      <c r="AJ59" s="128"/>
      <c r="AK59" s="128"/>
      <c r="AL59" s="128"/>
      <c r="AM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>
        <v>86</v>
      </c>
      <c r="AX59" s="128"/>
      <c r="AY59" s="128" t="s">
        <v>439</v>
      </c>
      <c r="AZ59" s="128">
        <v>11</v>
      </c>
      <c r="BA59" s="128" t="s">
        <v>448</v>
      </c>
      <c r="BB59" s="128"/>
      <c r="BC59" s="128" t="s">
        <v>449</v>
      </c>
      <c r="BD59" s="128">
        <v>37</v>
      </c>
    </row>
    <row r="60" spans="1:56" ht="15" customHeight="1" x14ac:dyDescent="0.2">
      <c r="A60" s="128">
        <v>23</v>
      </c>
      <c r="B60" s="128" t="s">
        <v>436</v>
      </c>
      <c r="C60" s="128" t="s">
        <v>437</v>
      </c>
      <c r="D60" s="128">
        <v>202</v>
      </c>
      <c r="E60" s="128" t="s">
        <v>438</v>
      </c>
      <c r="F60" s="128" t="s">
        <v>651</v>
      </c>
      <c r="G60" s="128"/>
      <c r="H60" s="128" t="s">
        <v>435</v>
      </c>
      <c r="I60" s="128">
        <v>1</v>
      </c>
      <c r="J60" s="128" t="s">
        <v>440</v>
      </c>
      <c r="K60" s="129">
        <v>20.41</v>
      </c>
      <c r="L60" s="130" t="s">
        <v>655</v>
      </c>
      <c r="M60" s="128" t="s">
        <v>441</v>
      </c>
      <c r="N60" s="128" t="s">
        <v>442</v>
      </c>
      <c r="O60" s="128"/>
      <c r="P60" s="128"/>
      <c r="Q60" s="128"/>
      <c r="R60" s="128" t="s">
        <v>652</v>
      </c>
      <c r="S60" s="128" t="s">
        <v>444</v>
      </c>
      <c r="T60" s="128" t="s">
        <v>445</v>
      </c>
      <c r="U60" s="128"/>
      <c r="V60" s="128"/>
      <c r="W60" s="128" t="s">
        <v>439</v>
      </c>
      <c r="X60" s="128"/>
      <c r="Y60" s="128" t="s">
        <v>653</v>
      </c>
      <c r="Z60" s="128" t="s">
        <v>98</v>
      </c>
      <c r="AA60" s="128" t="s">
        <v>28</v>
      </c>
      <c r="AB60" s="128" t="s">
        <v>18</v>
      </c>
      <c r="AC60" s="128">
        <v>10549</v>
      </c>
      <c r="AD60" s="128" t="s">
        <v>446</v>
      </c>
      <c r="AE60" s="128">
        <v>9144826029</v>
      </c>
      <c r="AF60" s="128" t="s">
        <v>447</v>
      </c>
      <c r="AG60" s="128">
        <v>21</v>
      </c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>
        <v>86</v>
      </c>
      <c r="AX60" s="128"/>
      <c r="AY60" s="128" t="s">
        <v>439</v>
      </c>
      <c r="AZ60" s="128">
        <v>10</v>
      </c>
      <c r="BA60" s="128" t="s">
        <v>448</v>
      </c>
      <c r="BB60" s="128"/>
      <c r="BC60" s="128" t="s">
        <v>449</v>
      </c>
      <c r="BD60" s="128">
        <v>38</v>
      </c>
    </row>
    <row r="61" spans="1:56" x14ac:dyDescent="0.2">
      <c r="A61" s="128">
        <v>23</v>
      </c>
      <c r="B61" s="128" t="s">
        <v>436</v>
      </c>
      <c r="C61" s="128" t="s">
        <v>437</v>
      </c>
      <c r="D61" s="128">
        <v>202</v>
      </c>
      <c r="E61" s="128" t="s">
        <v>438</v>
      </c>
      <c r="F61" s="128" t="s">
        <v>656</v>
      </c>
      <c r="G61" s="128"/>
      <c r="H61" s="128" t="s">
        <v>435</v>
      </c>
      <c r="I61" s="128">
        <v>1</v>
      </c>
      <c r="J61" s="128" t="s">
        <v>440</v>
      </c>
      <c r="K61" s="129">
        <v>15.88</v>
      </c>
      <c r="L61" s="130" t="s">
        <v>672</v>
      </c>
      <c r="M61" s="128" t="s">
        <v>441</v>
      </c>
      <c r="N61" s="128" t="s">
        <v>442</v>
      </c>
      <c r="O61" s="128"/>
      <c r="P61" s="128"/>
      <c r="Q61" s="128"/>
      <c r="R61" s="128" t="s">
        <v>657</v>
      </c>
      <c r="S61" s="128" t="s">
        <v>444</v>
      </c>
      <c r="T61" s="128" t="s">
        <v>445</v>
      </c>
      <c r="U61" s="128"/>
      <c r="V61" s="128"/>
      <c r="W61" s="128" t="s">
        <v>439</v>
      </c>
      <c r="X61" s="128"/>
      <c r="Y61" s="128" t="s">
        <v>658</v>
      </c>
      <c r="Z61" s="128" t="s">
        <v>99</v>
      </c>
      <c r="AA61" s="128" t="s">
        <v>28</v>
      </c>
      <c r="AB61" s="128" t="s">
        <v>18</v>
      </c>
      <c r="AC61" s="128">
        <v>10509</v>
      </c>
      <c r="AD61" s="128" t="s">
        <v>446</v>
      </c>
      <c r="AE61" s="128">
        <v>2406024998</v>
      </c>
      <c r="AF61" s="128" t="s">
        <v>447</v>
      </c>
      <c r="AG61" s="128">
        <v>21</v>
      </c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>
        <v>86</v>
      </c>
      <c r="AX61" s="128"/>
      <c r="AY61" s="128" t="s">
        <v>439</v>
      </c>
      <c r="AZ61" s="128">
        <v>9</v>
      </c>
      <c r="BA61" s="128" t="s">
        <v>448</v>
      </c>
      <c r="BB61" s="128"/>
      <c r="BC61" s="128" t="s">
        <v>449</v>
      </c>
      <c r="BD61" s="128">
        <v>39</v>
      </c>
    </row>
    <row r="62" spans="1:56" x14ac:dyDescent="0.2">
      <c r="A62" s="128">
        <v>23</v>
      </c>
      <c r="B62" s="128" t="s">
        <v>436</v>
      </c>
      <c r="C62" s="128" t="s">
        <v>437</v>
      </c>
      <c r="D62" s="128">
        <v>202</v>
      </c>
      <c r="E62" s="128" t="s">
        <v>438</v>
      </c>
      <c r="F62" s="128" t="s">
        <v>673</v>
      </c>
      <c r="G62" s="128"/>
      <c r="H62" s="128" t="s">
        <v>435</v>
      </c>
      <c r="I62" s="128">
        <v>1</v>
      </c>
      <c r="J62" s="128" t="s">
        <v>440</v>
      </c>
      <c r="K62" s="129">
        <v>13.61</v>
      </c>
      <c r="L62" s="130" t="s">
        <v>676</v>
      </c>
      <c r="M62" s="128" t="s">
        <v>441</v>
      </c>
      <c r="N62" s="128" t="s">
        <v>442</v>
      </c>
      <c r="O62" s="128"/>
      <c r="P62" s="128"/>
      <c r="Q62" s="128"/>
      <c r="R62" s="128" t="s">
        <v>674</v>
      </c>
      <c r="S62" s="128" t="s">
        <v>444</v>
      </c>
      <c r="T62" s="128" t="s">
        <v>445</v>
      </c>
      <c r="U62" s="128"/>
      <c r="V62" s="128"/>
      <c r="W62" s="128" t="s">
        <v>439</v>
      </c>
      <c r="X62" s="128"/>
      <c r="Y62" s="128" t="s">
        <v>675</v>
      </c>
      <c r="Z62" s="128" t="s">
        <v>100</v>
      </c>
      <c r="AA62" s="128" t="s">
        <v>28</v>
      </c>
      <c r="AB62" s="128" t="s">
        <v>18</v>
      </c>
      <c r="AC62" s="128">
        <v>10509</v>
      </c>
      <c r="AD62" s="128" t="s">
        <v>446</v>
      </c>
      <c r="AE62" s="128">
        <v>2409325540</v>
      </c>
      <c r="AF62" s="128" t="s">
        <v>447</v>
      </c>
      <c r="AG62" s="128">
        <v>21</v>
      </c>
      <c r="AH62" s="128"/>
      <c r="AI62" s="128"/>
      <c r="AJ62" s="128"/>
      <c r="AK62" s="128"/>
      <c r="AL62" s="128"/>
      <c r="AM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>
        <v>86</v>
      </c>
      <c r="AX62" s="128"/>
      <c r="AY62" s="128" t="s">
        <v>439</v>
      </c>
      <c r="AZ62" s="128">
        <v>9</v>
      </c>
      <c r="BA62" s="128" t="s">
        <v>448</v>
      </c>
      <c r="BB62" s="128"/>
      <c r="BC62" s="128" t="s">
        <v>449</v>
      </c>
      <c r="BD62" s="128">
        <v>40</v>
      </c>
    </row>
    <row r="63" spans="1:56" x14ac:dyDescent="0.2">
      <c r="A63" s="128">
        <v>23</v>
      </c>
      <c r="B63" s="128" t="s">
        <v>436</v>
      </c>
      <c r="C63" s="128" t="s">
        <v>437</v>
      </c>
      <c r="D63" s="128">
        <v>202</v>
      </c>
      <c r="E63" s="128" t="s">
        <v>438</v>
      </c>
      <c r="F63" s="128" t="s">
        <v>677</v>
      </c>
      <c r="G63" s="128"/>
      <c r="H63" s="128" t="s">
        <v>435</v>
      </c>
      <c r="I63" s="128">
        <v>1</v>
      </c>
      <c r="J63" s="128" t="s">
        <v>440</v>
      </c>
      <c r="K63" s="129">
        <v>22.68</v>
      </c>
      <c r="L63" s="130" t="s">
        <v>670</v>
      </c>
      <c r="M63" s="128" t="s">
        <v>441</v>
      </c>
      <c r="N63" s="128" t="s">
        <v>442</v>
      </c>
      <c r="O63" s="128"/>
      <c r="P63" s="128"/>
      <c r="Q63" s="128"/>
      <c r="R63" s="128" t="s">
        <v>678</v>
      </c>
      <c r="S63" s="128" t="s">
        <v>444</v>
      </c>
      <c r="T63" s="128" t="s">
        <v>445</v>
      </c>
      <c r="U63" s="128"/>
      <c r="V63" s="128"/>
      <c r="W63" s="128" t="s">
        <v>439</v>
      </c>
      <c r="X63" s="128"/>
      <c r="Y63" s="128" t="s">
        <v>679</v>
      </c>
      <c r="Z63" s="128" t="s">
        <v>101</v>
      </c>
      <c r="AA63" s="128" t="s">
        <v>70</v>
      </c>
      <c r="AB63" s="128" t="s">
        <v>18</v>
      </c>
      <c r="AC63" s="128">
        <v>10001</v>
      </c>
      <c r="AD63" s="128" t="s">
        <v>446</v>
      </c>
      <c r="AE63" s="128">
        <v>2024097639</v>
      </c>
      <c r="AF63" s="128" t="s">
        <v>447</v>
      </c>
      <c r="AG63" s="128">
        <v>21</v>
      </c>
      <c r="AH63" s="128"/>
      <c r="AI63" s="128"/>
      <c r="AJ63" s="128"/>
      <c r="AK63" s="128"/>
      <c r="AL63" s="128"/>
      <c r="AM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>
        <v>86</v>
      </c>
      <c r="AX63" s="128"/>
      <c r="AY63" s="128" t="s">
        <v>439</v>
      </c>
      <c r="AZ63" s="128">
        <v>11</v>
      </c>
      <c r="BA63" s="128" t="s">
        <v>448</v>
      </c>
      <c r="BB63" s="128"/>
      <c r="BC63" s="128" t="s">
        <v>449</v>
      </c>
      <c r="BD63" s="128">
        <v>41</v>
      </c>
    </row>
    <row r="64" spans="1:56" s="18" customFormat="1" ht="15" customHeight="1" x14ac:dyDescent="0.2">
      <c r="A64" s="128"/>
      <c r="B64" s="128"/>
      <c r="C64" s="128"/>
      <c r="D64" s="128"/>
      <c r="E64" s="128"/>
      <c r="F64" s="128"/>
      <c r="G64" s="128"/>
      <c r="H64" s="128"/>
      <c r="I64" s="128"/>
      <c r="J64" s="128"/>
      <c r="K64" s="129"/>
      <c r="L64" s="130"/>
      <c r="M64" s="128"/>
      <c r="N64" s="128"/>
      <c r="O64" s="128"/>
      <c r="P64" s="128"/>
      <c r="Q64" s="128"/>
      <c r="R64" s="128"/>
      <c r="S64" s="128"/>
      <c r="T64" s="128"/>
      <c r="U64" s="128"/>
      <c r="V64" s="128"/>
      <c r="W64" s="128"/>
      <c r="X64" s="128"/>
      <c r="Y64" s="128"/>
      <c r="Z64" s="128"/>
      <c r="AA64" s="128"/>
      <c r="AB64" s="128"/>
      <c r="AC64" s="128"/>
      <c r="AD64" s="128"/>
      <c r="AE64" s="128"/>
      <c r="AF64" s="128"/>
      <c r="AG64" s="128"/>
      <c r="AH64" s="128"/>
      <c r="AI64" s="128"/>
      <c r="AJ64" s="128"/>
      <c r="AK64" s="128"/>
      <c r="AL64" s="128"/>
      <c r="AM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</row>
    <row r="65" spans="1:56" s="18" customFormat="1" x14ac:dyDescent="0.2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2"/>
      <c r="L65" s="133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1:56" ht="14.25" customHeight="1" x14ac:dyDescent="0.2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60"/>
      <c r="L66" s="61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</row>
    <row r="67" spans="1:56" ht="15.75" customHeight="1" x14ac:dyDescent="0.2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60"/>
      <c r="L67" s="61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</row>
    <row r="68" spans="1:56" ht="15.75" customHeight="1" x14ac:dyDescent="0.2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60"/>
      <c r="L68" s="61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</row>
    <row r="69" spans="1:56" ht="14.25" customHeight="1" x14ac:dyDescent="0.2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60"/>
      <c r="L69" s="61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</row>
    <row r="70" spans="1:56" ht="15" customHeight="1" x14ac:dyDescent="0.2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60"/>
      <c r="L70" s="61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</row>
    <row r="71" spans="1:56" ht="14.25" customHeight="1" x14ac:dyDescent="0.2"/>
  </sheetData>
  <sortState ref="A3:BD75">
    <sortCondition ref="BD1"/>
  </sortState>
  <mergeCells count="2">
    <mergeCell ref="F1:G1"/>
    <mergeCell ref="A1:C1"/>
  </mergeCells>
  <conditionalFormatting sqref="F2">
    <cfRule type="duplicateValues" dxfId="15" priority="10" stopIfTrue="1"/>
  </conditionalFormatting>
  <conditionalFormatting sqref="Z1:Z2">
    <cfRule type="duplicateValues" dxfId="14" priority="9" stopIfTrue="1"/>
  </conditionalFormatting>
  <conditionalFormatting sqref="F1:F5 F9:F1048576">
    <cfRule type="duplicateValues" dxfId="13" priority="8"/>
  </conditionalFormatting>
  <conditionalFormatting sqref="F6:F8">
    <cfRule type="duplicateValues" dxfId="12" priority="7"/>
  </conditionalFormatting>
  <conditionalFormatting sqref="Z1:Z1048576">
    <cfRule type="duplicateValues" dxfId="11" priority="6"/>
  </conditionalFormatting>
  <conditionalFormatting sqref="AE1:AE1048576">
    <cfRule type="duplicateValues" dxfId="10" priority="1"/>
    <cfRule type="duplicateValues" dxfId="9" priority="2"/>
    <cfRule type="duplicateValues" dxfId="8" priority="5"/>
  </conditionalFormatting>
  <conditionalFormatting sqref="Y1:Y1048576">
    <cfRule type="duplicateValues" dxfId="7" priority="4"/>
  </conditionalFormatting>
  <conditionalFormatting sqref="F1:F1048576">
    <cfRule type="duplicateValues" dxfId="6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3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69" t="s">
        <v>408</v>
      </c>
      <c r="B2" s="69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454</v>
      </c>
      <c r="B4" t="s">
        <v>434</v>
      </c>
    </row>
    <row r="5" spans="1:2" x14ac:dyDescent="0.25">
      <c r="A5" t="s">
        <v>459</v>
      </c>
      <c r="B5" t="s">
        <v>434</v>
      </c>
    </row>
    <row r="6" spans="1:2" x14ac:dyDescent="0.25">
      <c r="A6" t="s">
        <v>433</v>
      </c>
      <c r="B6" t="s">
        <v>434</v>
      </c>
    </row>
    <row r="7" spans="1:2" x14ac:dyDescent="0.25">
      <c r="A7" t="s">
        <v>467</v>
      </c>
      <c r="B7" t="s">
        <v>434</v>
      </c>
    </row>
    <row r="8" spans="1:2" x14ac:dyDescent="0.25">
      <c r="A8" t="s">
        <v>472</v>
      </c>
      <c r="B8" t="s">
        <v>434</v>
      </c>
    </row>
    <row r="9" spans="1:2" x14ac:dyDescent="0.25">
      <c r="A9" t="s">
        <v>459</v>
      </c>
      <c r="B9" t="s">
        <v>434</v>
      </c>
    </row>
    <row r="10" spans="1:2" x14ac:dyDescent="0.25">
      <c r="A10" t="s">
        <v>481</v>
      </c>
      <c r="B10" t="s">
        <v>434</v>
      </c>
    </row>
    <row r="11" spans="1:2" x14ac:dyDescent="0.25">
      <c r="A11" t="s">
        <v>486</v>
      </c>
      <c r="B11" t="s">
        <v>434</v>
      </c>
    </row>
    <row r="12" spans="1:2" x14ac:dyDescent="0.25">
      <c r="A12" t="s">
        <v>467</v>
      </c>
      <c r="B12" t="s">
        <v>434</v>
      </c>
    </row>
    <row r="13" spans="1:2" x14ac:dyDescent="0.25">
      <c r="A13" t="s">
        <v>494</v>
      </c>
      <c r="B13" t="s">
        <v>434</v>
      </c>
    </row>
    <row r="14" spans="1:2" x14ac:dyDescent="0.25">
      <c r="A14" t="s">
        <v>481</v>
      </c>
      <c r="B14" t="s">
        <v>434</v>
      </c>
    </row>
    <row r="15" spans="1:2" x14ac:dyDescent="0.25">
      <c r="A15" t="s">
        <v>433</v>
      </c>
      <c r="B15" t="s">
        <v>434</v>
      </c>
    </row>
    <row r="16" spans="1:2" x14ac:dyDescent="0.25">
      <c r="A16" t="s">
        <v>454</v>
      </c>
      <c r="B16" t="s">
        <v>434</v>
      </c>
    </row>
    <row r="17" spans="1:2" x14ac:dyDescent="0.25">
      <c r="A17" t="s">
        <v>509</v>
      </c>
      <c r="B17" t="s">
        <v>434</v>
      </c>
    </row>
    <row r="18" spans="1:2" x14ac:dyDescent="0.25">
      <c r="A18" t="s">
        <v>494</v>
      </c>
      <c r="B18" t="s">
        <v>434</v>
      </c>
    </row>
    <row r="19" spans="1:2" x14ac:dyDescent="0.25">
      <c r="A19" t="s">
        <v>494</v>
      </c>
      <c r="B19" t="s">
        <v>434</v>
      </c>
    </row>
    <row r="20" spans="1:2" x14ac:dyDescent="0.25">
      <c r="A20" t="s">
        <v>486</v>
      </c>
      <c r="B20" t="s">
        <v>434</v>
      </c>
    </row>
    <row r="21" spans="1:2" x14ac:dyDescent="0.25">
      <c r="A21" t="s">
        <v>433</v>
      </c>
      <c r="B21" t="s">
        <v>434</v>
      </c>
    </row>
    <row r="22" spans="1:2" x14ac:dyDescent="0.25">
      <c r="A22" t="s">
        <v>472</v>
      </c>
      <c r="B22" t="s">
        <v>434</v>
      </c>
    </row>
    <row r="23" spans="1:2" x14ac:dyDescent="0.25">
      <c r="A23" t="s">
        <v>433</v>
      </c>
      <c r="B23" t="s">
        <v>434</v>
      </c>
    </row>
    <row r="24" spans="1:2" x14ac:dyDescent="0.25">
      <c r="A24" t="s">
        <v>459</v>
      </c>
      <c r="B24" t="s">
        <v>406</v>
      </c>
    </row>
    <row r="25" spans="1:2" x14ac:dyDescent="0.25">
      <c r="A25" t="s">
        <v>467</v>
      </c>
      <c r="B25" t="s">
        <v>406</v>
      </c>
    </row>
    <row r="26" spans="1:2" x14ac:dyDescent="0.25">
      <c r="A26" t="s">
        <v>481</v>
      </c>
      <c r="B26" t="s">
        <v>406</v>
      </c>
    </row>
    <row r="27" spans="1:2" x14ac:dyDescent="0.25">
      <c r="A27" t="s">
        <v>486</v>
      </c>
      <c r="B27" t="s">
        <v>406</v>
      </c>
    </row>
    <row r="28" spans="1:2" x14ac:dyDescent="0.25">
      <c r="A28" t="s">
        <v>472</v>
      </c>
      <c r="B28" t="s">
        <v>406</v>
      </c>
    </row>
    <row r="29" spans="1:2" x14ac:dyDescent="0.25">
      <c r="A29" t="s">
        <v>454</v>
      </c>
      <c r="B29" t="s">
        <v>406</v>
      </c>
    </row>
    <row r="30" spans="1:2" x14ac:dyDescent="0.25">
      <c r="A30" t="s">
        <v>433</v>
      </c>
      <c r="B30" t="s">
        <v>406</v>
      </c>
    </row>
    <row r="31" spans="1:2" x14ac:dyDescent="0.25">
      <c r="A31" t="s">
        <v>433</v>
      </c>
      <c r="B31" t="s">
        <v>406</v>
      </c>
    </row>
    <row r="32" spans="1:2" x14ac:dyDescent="0.25">
      <c r="A32" t="s">
        <v>433</v>
      </c>
      <c r="B32" t="s">
        <v>406</v>
      </c>
    </row>
    <row r="33" spans="1:2" x14ac:dyDescent="0.25">
      <c r="A33" t="s">
        <v>481</v>
      </c>
      <c r="B33" t="s">
        <v>406</v>
      </c>
    </row>
    <row r="34" spans="1:2" x14ac:dyDescent="0.25">
      <c r="A34" t="s">
        <v>494</v>
      </c>
      <c r="B34" t="s">
        <v>406</v>
      </c>
    </row>
    <row r="35" spans="1:2" x14ac:dyDescent="0.25">
      <c r="A35" t="s">
        <v>576</v>
      </c>
      <c r="B35" t="s">
        <v>406</v>
      </c>
    </row>
    <row r="36" spans="1:2" x14ac:dyDescent="0.25">
      <c r="A36" t="s">
        <v>576</v>
      </c>
      <c r="B36" t="s">
        <v>406</v>
      </c>
    </row>
    <row r="37" spans="1:2" x14ac:dyDescent="0.25">
      <c r="A37" t="s">
        <v>472</v>
      </c>
      <c r="B37" t="s">
        <v>406</v>
      </c>
    </row>
    <row r="38" spans="1:2" x14ac:dyDescent="0.25">
      <c r="A38" t="s">
        <v>454</v>
      </c>
      <c r="B38" t="s">
        <v>406</v>
      </c>
    </row>
    <row r="39" spans="1:2" x14ac:dyDescent="0.25">
      <c r="A39" t="s">
        <v>433</v>
      </c>
      <c r="B39" t="s">
        <v>406</v>
      </c>
    </row>
    <row r="40" spans="1:2" x14ac:dyDescent="0.25">
      <c r="A40" t="s">
        <v>467</v>
      </c>
      <c r="B40" t="s">
        <v>406</v>
      </c>
    </row>
    <row r="41" spans="1:2" x14ac:dyDescent="0.25">
      <c r="A41" t="s">
        <v>433</v>
      </c>
      <c r="B41" t="s">
        <v>406</v>
      </c>
    </row>
    <row r="42" spans="1:2" x14ac:dyDescent="0.25">
      <c r="A42" t="s">
        <v>509</v>
      </c>
      <c r="B42" t="s">
        <v>406</v>
      </c>
    </row>
    <row r="43" spans="1:2" x14ac:dyDescent="0.25">
      <c r="A43" t="s">
        <v>509</v>
      </c>
      <c r="B43" t="s">
        <v>406</v>
      </c>
    </row>
    <row r="44" spans="1:2" x14ac:dyDescent="0.25">
      <c r="A44" t="s">
        <v>509</v>
      </c>
      <c r="B44" t="s">
        <v>406</v>
      </c>
    </row>
    <row r="45" spans="1:2" x14ac:dyDescent="0.25">
      <c r="A45" t="s">
        <v>509</v>
      </c>
      <c r="B45" t="s">
        <v>406</v>
      </c>
    </row>
    <row r="46" spans="1:2" x14ac:dyDescent="0.25">
      <c r="A46" t="s">
        <v>509</v>
      </c>
      <c r="B46" t="s">
        <v>406</v>
      </c>
    </row>
    <row r="47" spans="1:2" x14ac:dyDescent="0.25">
      <c r="A47" t="s">
        <v>509</v>
      </c>
      <c r="B47" t="s">
        <v>406</v>
      </c>
    </row>
    <row r="48" spans="1:2" x14ac:dyDescent="0.25">
      <c r="A48" t="s">
        <v>509</v>
      </c>
      <c r="B48" t="s">
        <v>406</v>
      </c>
    </row>
    <row r="49" spans="1:2" x14ac:dyDescent="0.25">
      <c r="A49" t="s">
        <v>509</v>
      </c>
      <c r="B49" t="s">
        <v>406</v>
      </c>
    </row>
    <row r="50" spans="1:2" x14ac:dyDescent="0.25">
      <c r="A50" t="s">
        <v>509</v>
      </c>
      <c r="B50" t="s">
        <v>406</v>
      </c>
    </row>
    <row r="51" spans="1:2" x14ac:dyDescent="0.25">
      <c r="A51" t="s">
        <v>509</v>
      </c>
      <c r="B51" t="s">
        <v>406</v>
      </c>
    </row>
    <row r="52" spans="1:2" x14ac:dyDescent="0.25">
      <c r="A52" t="s">
        <v>509</v>
      </c>
      <c r="B52" t="s">
        <v>406</v>
      </c>
    </row>
    <row r="53" spans="1:2" x14ac:dyDescent="0.25">
      <c r="A53" t="s">
        <v>509</v>
      </c>
      <c r="B53" t="s">
        <v>406</v>
      </c>
    </row>
    <row r="54" spans="1:2" x14ac:dyDescent="0.25">
      <c r="A54" t="s">
        <v>467</v>
      </c>
      <c r="B54" t="s">
        <v>406</v>
      </c>
    </row>
    <row r="55" spans="1:2" x14ac:dyDescent="0.25">
      <c r="A55" t="s">
        <v>494</v>
      </c>
      <c r="B55" t="s">
        <v>406</v>
      </c>
    </row>
    <row r="56" spans="1:2" x14ac:dyDescent="0.25">
      <c r="A56" t="s">
        <v>459</v>
      </c>
      <c r="B56" t="s">
        <v>406</v>
      </c>
    </row>
    <row r="57" spans="1:2" x14ac:dyDescent="0.25">
      <c r="A57" t="s">
        <v>654</v>
      </c>
      <c r="B57" t="s">
        <v>406</v>
      </c>
    </row>
    <row r="58" spans="1:2" x14ac:dyDescent="0.25">
      <c r="A58" t="s">
        <v>576</v>
      </c>
      <c r="B58" t="s">
        <v>406</v>
      </c>
    </row>
    <row r="59" spans="1:2" x14ac:dyDescent="0.25">
      <c r="A59" t="s">
        <v>669</v>
      </c>
      <c r="B59" t="s">
        <v>406</v>
      </c>
    </row>
    <row r="60" spans="1:2" x14ac:dyDescent="0.25">
      <c r="A60" t="s">
        <v>486</v>
      </c>
      <c r="B60" t="s">
        <v>406</v>
      </c>
    </row>
    <row r="61" spans="1:2" x14ac:dyDescent="0.25">
      <c r="A61" t="s">
        <v>671</v>
      </c>
      <c r="B61" t="s">
        <v>406</v>
      </c>
    </row>
    <row r="62" spans="1:2" x14ac:dyDescent="0.25">
      <c r="A62" t="s">
        <v>433</v>
      </c>
      <c r="B62" t="s">
        <v>406</v>
      </c>
    </row>
    <row r="63" spans="1:2" x14ac:dyDescent="0.25">
      <c r="A63" t="s">
        <v>680</v>
      </c>
      <c r="B6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2023-03-23T02:49:10Z</cp:lastPrinted>
  <dcterms:created xsi:type="dcterms:W3CDTF">2022-06-23T22:24:49Z</dcterms:created>
  <dcterms:modified xsi:type="dcterms:W3CDTF">2023-03-23T02:53:28Z</dcterms:modified>
</cp:coreProperties>
</file>