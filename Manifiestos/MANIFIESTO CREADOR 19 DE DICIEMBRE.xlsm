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ocuments\Manifiestos\"/>
    </mc:Choice>
  </mc:AlternateContent>
  <bookViews>
    <workbookView xWindow="0" yWindow="0" windowWidth="15360" windowHeight="765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functionGroups builtInGroupCount="18"/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F109" i="2"/>
  <c r="C109" i="2"/>
  <c r="G109" i="2" s="1"/>
  <c r="F108" i="2"/>
  <c r="C108" i="2"/>
  <c r="G108" i="2" s="1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C101" i="2"/>
  <c r="F100" i="2"/>
  <c r="C100" i="2"/>
  <c r="B100" i="2"/>
  <c r="G100" i="2" s="1"/>
  <c r="F99" i="2"/>
  <c r="C99" i="2"/>
  <c r="B99" i="2"/>
  <c r="G99" i="2" s="1"/>
  <c r="G98" i="2"/>
  <c r="F98" i="2"/>
  <c r="B98" i="2"/>
  <c r="F97" i="2"/>
  <c r="B97" i="2"/>
  <c r="G97" i="2" s="1"/>
  <c r="F96" i="2"/>
  <c r="B96" i="2"/>
  <c r="G96" i="2" s="1"/>
  <c r="I27" i="1" l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<sst xmlns="http://schemas.openxmlformats.org/spreadsheetml/2006/main" count="878" uniqueCount="472">
  <si>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</si>
  <si>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</si>
  <si>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</si>
  <si>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</si>
  <si>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</si>
  <si>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</si>
  <si>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</si>
  <si>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</si>
  <si>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</si>
  <si>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</si>
  <si>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</si>
  <si>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</si>
  <si>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</si>
  <si>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</si>
  <si>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</si>
  <si>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</si>
  <si>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</si>
  <si>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</si>
  <si>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</si>
  <si>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</si>
  <si>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</si>
  <si>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</si>
  <si>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</si>
  <si>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</si>
  <si>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</si>
  <si>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</si>
  <si>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</si>
  <si>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</si>
  <si>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</si>
  <si>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</si>
  <si>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</si>
  <si>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</si>
  <si>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</si>
  <si>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</si>
  <si>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</si>
  <si>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</si>
  <si>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</si>
  <si>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</si>
  <si>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</si>
  <si>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</si>
  <si>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</si>
  <si>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</si>
  <si>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</si>
  <si>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</si>
  <si>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</si>
  <si>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</si>
  <si>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</si>
  <si>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</si>
  <si>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</si>
  <si>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</si>
  <si>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</si>
  <si>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</si>
  <si>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</si>
  <si>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</si>
  <si>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</si>
  <si>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</si>
  <si>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</si>
  <si>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</si>
  <si>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</si>
  <si>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</si>
  <si>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</si>
  <si>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</si>
  <si>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</si>
  <si>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</si>
  <si>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</si>
  <si>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</si>
  <si>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</si>
  <si>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</si>
  <si>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</si>
  <si>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</si>
  <si>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</si>
  <si>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</si>
  <si>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</si>
  <si>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</si>
  <si>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</si>
  <si>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</si>
  <si>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</si>
  <si>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</si>
  <si>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</si>
  <si>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</si>
  <si>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</si>
  <si>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</si>
  <si>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</si>
  <si>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</si>
  <si>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</si>
  <si>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</si>
  <si>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</si>
  <si>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</si>
  <si>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</si>
  <si>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</si>
  <si>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</si>
  <si>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</si>
  <si>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</si>
  <si>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</si>
  <si>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</si>
  <si>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</si>
  <si>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</si>
  <si>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</si>
  <si>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</si>
  <si>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</si>
  <si>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</si>
  <si>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</si>
  <si>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</si>
  <si>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</si>
  <si>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</si>
  <si>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</si>
  <si>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</si>
  <si>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</si>
  <si>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</si>
  <si>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</si>
  <si>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</si>
  <si>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</si>
  <si>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</si>
  <si>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</si>
  <si>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</si>
  <si>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</si>
  <si>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</si>
  <si>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</si>
  <si>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</si>
  <si>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</si>
  <si>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</si>
  <si>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</si>
  <si>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</si>
  <si>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</si>
  <si>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</si>
  <si>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</si>
  <si>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</si>
  <si>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</si>
  <si>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</si>
  <si>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</si>
  <si>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</si>
  <si>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</si>
  <si>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</si>
  <si>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</si>
  <si>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</si>
  <si>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</si>
  <si>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</si>
  <si>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</si>
  <si>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</si>
  <si>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</si>
  <si>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</si>
  <si>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</si>
  <si>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</si>
  <si>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</si>
  <si>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</si>
  <si>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</si>
  <si>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</si>
  <si>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</si>
  <si>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</si>
  <si>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</si>
  <si>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</si>
  <si>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</si>
  <si>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</si>
  <si>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</si>
  <si>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</si>
  <si>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</si>
  <si>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</si>
  <si>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</si>
  <si>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</si>
  <si>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</si>
  <si>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</si>
  <si>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</si>
  <si>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</si>
  <si>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</si>
  <si>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</si>
  <si>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</si>
  <si>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</si>
  <si>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</si>
  <si>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</si>
  <si>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</si>
  <si>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</si>
  <si>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</si>
  <si>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</si>
  <si>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</si>
  <si>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</si>
  <si>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</si>
  <si>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</si>
  <si>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</si>
  <si>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</si>
  <si>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</si>
  <si>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</si>
  <si>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</si>
  <si>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</si>
  <si>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</si>
  <si>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</si>
  <si>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</si>
  <si>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</si>
  <si>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</si>
  <si>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</si>
  <si>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</si>
  <si>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</si>
  <si>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</si>
  <si>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</si>
  <si>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</si>
  <si>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</si>
  <si>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</si>
  <si>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</si>
  <si>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</si>
  <si>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</si>
  <si>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</si>
  <si>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</si>
  <si>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</si>
  <si>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</si>
  <si>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</si>
  <si>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</si>
  <si>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</si>
  <si>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</si>
  <si>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</si>
  <si>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</si>
  <si>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</si>
  <si>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</si>
  <si>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</si>
  <si>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</si>
  <si>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</si>
  <si>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</si>
  <si>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</si>
  <si>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</si>
  <si>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</si>
  <si>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</si>
  <si>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</si>
  <si>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</si>
  <si>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</si>
  <si>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</si>
  <si>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</si>
  <si>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</si>
  <si>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</si>
  <si>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</si>
  <si>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</si>
  <si>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</si>
  <si>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</si>
  <si>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</si>
  <si>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</si>
  <si>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</si>
  <si>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</si>
  <si>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</si>
  <si>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</si>
  <si>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</si>
  <si>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</si>
  <si>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</si>
  <si>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</si>
  <si>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</si>
  <si>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</si>
  <si>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</si>
  <si>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</si>
  <si>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</si>
  <si>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</si>
  <si>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</si>
  <si>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</si>
  <si>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</si>
  <si>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</si>
  <si>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</si>
  <si>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</si>
  <si>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</si>
  <si>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</si>
  <si>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</si>
  <si>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</si>
  <si>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</si>
  <si>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</si>
  <si>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</si>
  <si>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</si>
  <si>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</si>
  <si>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</si>
  <si>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</si>
  <si>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</si>
  <si>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</si>
  <si>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</si>
  <si>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</si>
  <si>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</si>
  <si>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</si>
  <si>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</si>
  <si>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</si>
  <si>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</si>
  <si>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</si>
  <si>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</si>
  <si>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</si>
  <si>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</si>
  <si>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</si>
  <si>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</si>
  <si>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</si>
  <si>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</si>
  <si>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</si>
  <si>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</si>
  <si>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</si>
  <si>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</si>
  <si>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</si>
  <si>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</si>
  <si>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</si>
  <si>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</si>
  <si>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</si>
  <si>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</si>
  <si>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</si>
  <si>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</si>
  <si>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</si>
  <si>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</si>
  <si>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</si>
  <si>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</si>
  <si>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</si>
  <si>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</si>
  <si>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</si>
  <si>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</si>
  <si>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</si>
  <si>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</si>
  <si>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</si>
  <si>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</si>
  <si>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</si>
  <si>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</si>
  <si>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</si>
  <si>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</si>
  <si>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</si>
  <si>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</si>
  <si>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</si>
  <si>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</si>
  <si>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</si>
  <si>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</si>
  <si>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</si>
  <si>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</si>
  <si>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</si>
  <si>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</si>
  <si>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</si>
  <si>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</si>
  <si>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</si>
  <si>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</si>
  <si>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</si>
  <si>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</si>
  <si>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</si>
  <si>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</si>
  <si>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</si>
  <si>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</si>
  <si>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</si>
  <si>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</si>
  <si>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</si>
  <si>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</si>
  <si>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</si>
  <si>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</si>
  <si>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</si>
  <si>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</si>
  <si>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</si>
  <si>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</si>
  <si>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</si>
  <si>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</si>
  <si>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</si>
  <si>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</si>
  <si>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</si>
  <si>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</si>
  <si>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</si>
  <si>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</si>
  <si>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</si>
  <si>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</si>
  <si>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</si>
  <si>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</si>
  <si>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</si>
  <si>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</si>
  <si>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</si>
  <si>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</si>
  <si>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</si>
  <si>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</si>
  <si>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</si>
  <si>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</si>
  <si>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</si>
  <si>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</si>
  <si>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</si>
  <si>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</si>
  <si>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</si>
  <si>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</si>
  <si>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</si>
  <si>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</si>
  <si>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</si>
  <si>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</si>
  <si>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</si>
  <si>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</si>
  <si>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</si>
  <si>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</si>
  <si>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</si>
  <si>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</si>
  <si>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</si>
  <si>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</si>
  <si>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</si>
  <si>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</si>
  <si>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</si>
  <si>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</si>
  <si>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</si>
  <si>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</si>
  <si>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</si>
  <si>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</si>
  <si>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</si>
  <si>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</si>
  <si>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</si>
  <si>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</si>
  <si>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</si>
  <si>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</si>
  <si>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</si>
  <si>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</si>
  <si>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</si>
  <si>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</si>
  <si>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</si>
  <si>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</si>
  <si>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</si>
  <si>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</si>
  <si>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</si>
  <si>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</si>
  <si>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</si>
  <si>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</si>
  <si>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</si>
  <si>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</si>
  <si>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</si>
  <si>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</si>
  <si>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</si>
  <si>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</si>
  <si>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</si>
  <si>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</si>
  <si>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</si>
  <si>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</si>
  <si>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</si>
  <si>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</si>
  <si>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</si>
  <si>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</si>
  <si>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</si>
  <si>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</si>
  <si>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</si>
  <si>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</si>
  <si>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</si>
  <si>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</si>
  <si>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</si>
  <si>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</si>
  <si>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</si>
  <si>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</si>
  <si>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</si>
  <si>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</si>
  <si>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</si>
  <si>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</si>
  <si>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</si>
  <si>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</si>
  <si>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</si>
  <si>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</si>
  <si>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</si>
  <si>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</si>
  <si>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</si>
  <si>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</si>
  <si>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</si>
  <si>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</si>
  <si>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</si>
  <si>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</si>
  <si>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</si>
  <si>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LILY</t>
  </si>
  <si>
    <t>SECO</t>
  </si>
  <si>
    <t>016M</t>
  </si>
  <si>
    <t>10 CAROL CT</t>
  </si>
  <si>
    <t>517 E 82ND ST</t>
  </si>
  <si>
    <t>313 E 93RD ST</t>
  </si>
  <si>
    <t>630 W 151ST</t>
  </si>
  <si>
    <t>108 GROVE ST</t>
  </si>
  <si>
    <t>11 BROOK ST</t>
  </si>
  <si>
    <t>22 WILLETTS RD</t>
  </si>
  <si>
    <t>12 PARKER ST</t>
  </si>
  <si>
    <t>23 ALBACON RD</t>
  </si>
  <si>
    <t>11 HAMMOND RIDGE RD</t>
  </si>
  <si>
    <t>31 HAMMOND RIDGE RD</t>
  </si>
  <si>
    <t>400 KING ST</t>
  </si>
  <si>
    <t>3 ELM ST</t>
  </si>
  <si>
    <t>27 LEONARD ST</t>
  </si>
  <si>
    <t>67 CROTON AVE</t>
  </si>
  <si>
    <t>16 PROSPECT ST</t>
  </si>
  <si>
    <t>19 SPRING ST</t>
  </si>
  <si>
    <t>73 VALLEY RD</t>
  </si>
  <si>
    <t>17 BURBANK AVE</t>
  </si>
  <si>
    <t>31 BEECHWOOD RD</t>
  </si>
  <si>
    <t>31 COTTAGE TERRACE</t>
  </si>
  <si>
    <t>10 BURBANK AVE</t>
  </si>
  <si>
    <t>LISA CRUZ</t>
  </si>
  <si>
    <t>CLARA CRUZ</t>
  </si>
  <si>
    <t>BOTAS</t>
  </si>
  <si>
    <t>202 - 31107123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</si>
</sst>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u/>
      <sz val="12"/>
      <color theme="0"/>
      <name val="Arial"/>
      <family val="2"/>
    </font>
    <font>
      <sz val="72"/>
      <color theme="1"/>
      <name val="Arial"/>
      <family val="2"/>
    </font>
    <font>
      <sz val="18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249977111117893"/>
      </left>
      <right style="medium">
        <color theme="4" tint="-0.499984740745262"/>
      </right>
      <top/>
      <bottom/>
      <diagonal/>
    </border>
    <border>
      <left style="thin">
        <color theme="4" tint="-0.249977111117893"/>
      </left>
      <right style="medium">
        <color theme="4" tint="-0.499984740745262"/>
      </right>
      <top/>
      <bottom style="thin">
        <color theme="4" tint="-0.249977111117893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4">
    <xf numFmtId="0" fontId="0" fillId="0" borderId="0" xfId="0"/>
    <xf numFmtId="0" fontId="5" fillId="0" borderId="19" xfId="0" applyFont="1" applyBorder="1" applyAlignment="1" applyProtection="1">
      <protection hidden="1"/>
    </xf>
    <xf numFmtId="0" fontId="7" fillId="0" borderId="21" xfId="0" applyFont="1" applyBorder="1" applyAlignment="1" applyProtection="1">
      <alignment horizontal="right"/>
      <protection hidden="1"/>
    </xf>
    <xf numFmtId="0" fontId="8" fillId="0" borderId="22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3" xfId="0" applyFont="1" applyBorder="1" applyAlignment="1" applyProtection="1">
      <protection hidden="1"/>
    </xf>
    <xf numFmtId="0" fontId="5" fillId="2" borderId="13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8" xfId="0" applyFont="1" applyBorder="1" applyAlignment="1" applyProtection="1">
      <protection hidden="1"/>
    </xf>
    <xf numFmtId="0" fontId="6" fillId="0" borderId="37" xfId="0" applyFont="1" applyBorder="1" applyAlignment="1" applyProtection="1">
      <protection hidden="1"/>
    </xf>
    <xf numFmtId="0" fontId="5" fillId="0" borderId="13" xfId="0" applyFont="1" applyBorder="1" applyProtection="1"/>
    <xf numFmtId="0" fontId="4" fillId="0" borderId="0" xfId="0" applyFont="1" applyFill="1" applyBorder="1" applyProtection="1"/>
    <xf numFmtId="0" fontId="5" fillId="0" borderId="23" xfId="0" applyFont="1" applyBorder="1" applyProtection="1">
      <protection hidden="1"/>
    </xf>
    <xf numFmtId="0" fontId="6" fillId="0" borderId="18" xfId="0" applyFont="1" applyBorder="1" applyAlignment="1" applyProtection="1">
      <alignment horizontal="righ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6" fillId="0" borderId="16" xfId="0" applyFont="1" applyBorder="1" applyAlignment="1" applyProtection="1">
      <alignment horizontal="left"/>
      <protection hidden="1"/>
    </xf>
    <xf numFmtId="14" fontId="6" fillId="0" borderId="25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4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7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7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28" xfId="0" applyFont="1" applyBorder="1" applyAlignment="1" applyProtection="1">
      <protection hidden="1"/>
    </xf>
    <xf numFmtId="0" fontId="5" fillId="0" borderId="5" xfId="0" applyFont="1" applyBorder="1" applyAlignment="1" applyProtection="1">
      <protection hidden="1"/>
    </xf>
    <xf numFmtId="0" fontId="5" fillId="0" borderId="29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3" fillId="0" borderId="31" xfId="0" applyFont="1" applyBorder="1" applyAlignment="1" applyProtection="1">
      <alignment horizontal="center"/>
      <protection hidden="1"/>
    </xf>
    <xf numFmtId="0" fontId="5" fillId="0" borderId="32" xfId="0" applyFont="1" applyBorder="1" applyProtection="1"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3" fillId="0" borderId="13" xfId="0" applyFont="1" applyFill="1" applyBorder="1"/>
    <xf numFmtId="0" fontId="6" fillId="0" borderId="0" xfId="0" applyFont="1" applyAlignment="1"/>
    <xf numFmtId="0" fontId="16" fillId="0" borderId="13" xfId="0" applyFont="1" applyFill="1" applyBorder="1" applyAlignment="1">
      <alignment vertical="center"/>
    </xf>
    <xf numFmtId="43" fontId="16" fillId="0" borderId="13" xfId="1" applyFont="1" applyFill="1" applyBorder="1" applyAlignment="1">
      <alignment horizontal="left" vertical="center"/>
    </xf>
    <xf numFmtId="43" fontId="16" fillId="0" borderId="13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3" xfId="0" applyFont="1" applyFill="1" applyBorder="1"/>
    <xf numFmtId="0" fontId="4" fillId="0" borderId="13" xfId="0" applyFont="1" applyBorder="1"/>
    <xf numFmtId="0" fontId="4" fillId="0" borderId="13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18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0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18" fillId="16" borderId="0" xfId="0" applyFont="1" applyFill="1" applyAlignment="1">
      <alignment horizontal="center"/>
    </xf>
    <xf numFmtId="0" fontId="17" fillId="0" borderId="13" xfId="0" applyFont="1" applyBorder="1" applyAlignment="1">
      <alignment vertical="center"/>
    </xf>
    <xf numFmtId="0" fontId="6" fillId="0" borderId="13" xfId="0" applyFont="1" applyBorder="1" applyAlignment="1"/>
    <xf numFmtId="0" fontId="4" fillId="3" borderId="13" xfId="0" applyFont="1" applyFill="1" applyBorder="1"/>
    <xf numFmtId="0" fontId="4" fillId="0" borderId="0" xfId="0" applyFont="1" applyFill="1"/>
    <xf numFmtId="49" fontId="4" fillId="0" borderId="13" xfId="0" applyNumberFormat="1" applyFont="1" applyBorder="1" applyAlignment="1">
      <alignment horizontal="right"/>
    </xf>
    <xf numFmtId="0" fontId="4" fillId="7" borderId="13" xfId="0" applyFont="1" applyFill="1" applyBorder="1"/>
    <xf numFmtId="0" fontId="4" fillId="5" borderId="13" xfId="0" applyFont="1" applyFill="1" applyBorder="1"/>
    <xf numFmtId="0" fontId="4" fillId="6" borderId="13" xfId="0" applyFont="1" applyFill="1" applyBorder="1"/>
    <xf numFmtId="0" fontId="4" fillId="8" borderId="13" xfId="0" applyFont="1" applyFill="1" applyBorder="1"/>
    <xf numFmtId="0" fontId="4" fillId="9" borderId="13" xfId="0" applyFont="1" applyFill="1" applyBorder="1"/>
    <xf numFmtId="0" fontId="4" fillId="10" borderId="13" xfId="0" applyFont="1" applyFill="1" applyBorder="1"/>
    <xf numFmtId="0" fontId="4" fillId="11" borderId="13" xfId="0" applyFont="1" applyFill="1" applyBorder="1"/>
    <xf numFmtId="0" fontId="4" fillId="12" borderId="13" xfId="0" applyFont="1" applyFill="1" applyBorder="1"/>
    <xf numFmtId="0" fontId="18" fillId="16" borderId="39" xfId="0" applyFont="1" applyFill="1" applyBorder="1" applyAlignment="1">
      <alignment horizontal="center"/>
    </xf>
    <xf numFmtId="0" fontId="4" fillId="0" borderId="0" xfId="0" applyFont="1" applyBorder="1" applyAlignment="1">
      <alignment wrapText="1"/>
    </xf>
    <xf numFmtId="0" fontId="16" fillId="0" borderId="39" xfId="0" applyFont="1" applyBorder="1" applyAlignment="1">
      <alignment vertical="center"/>
    </xf>
    <xf numFmtId="49" fontId="16" fillId="0" borderId="39" xfId="0" applyNumberFormat="1" applyFont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43" fontId="16" fillId="0" borderId="39" xfId="1" applyFont="1" applyFill="1" applyBorder="1" applyAlignment="1">
      <alignment horizontal="left" vertical="center"/>
    </xf>
    <xf numFmtId="43" fontId="16" fillId="0" borderId="39" xfId="1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 wrapText="1"/>
    </xf>
    <xf numFmtId="0" fontId="21" fillId="16" borderId="39" xfId="0" applyFont="1" applyFill="1" applyBorder="1" applyAlignment="1">
      <alignment horizontal="center"/>
    </xf>
    <xf numFmtId="0" fontId="12" fillId="0" borderId="31" xfId="0" applyFont="1" applyBorder="1" applyAlignment="1" applyProtection="1">
      <alignment horizontal="center" vertical="center"/>
      <protection hidden="1"/>
    </xf>
    <xf numFmtId="0" fontId="4" fillId="0" borderId="13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9" borderId="0" xfId="0" applyFont="1" applyFill="1"/>
    <xf numFmtId="0" fontId="4" fillId="17" borderId="0" xfId="0" applyFont="1" applyFill="1"/>
    <xf numFmtId="0" fontId="4" fillId="0" borderId="0" xfId="0" applyFont="1" applyFill="1" applyBorder="1" applyAlignment="1">
      <alignment wrapText="1"/>
    </xf>
    <xf numFmtId="0" fontId="4" fillId="0" borderId="35" xfId="0" applyFont="1" applyBorder="1"/>
    <xf numFmtId="0" fontId="4" fillId="0" borderId="39" xfId="0" applyFont="1" applyBorder="1"/>
    <xf numFmtId="0" fontId="4" fillId="0" borderId="42" xfId="0" applyFont="1" applyBorder="1"/>
    <xf numFmtId="0" fontId="18" fillId="13" borderId="39" xfId="0" applyFont="1" applyFill="1" applyBorder="1" applyAlignment="1">
      <alignment horizontal="center" vertical="center"/>
    </xf>
    <xf numFmtId="0" fontId="18" fillId="14" borderId="39" xfId="0" applyFont="1" applyFill="1" applyBorder="1" applyAlignment="1">
      <alignment vertical="center"/>
    </xf>
    <xf numFmtId="0" fontId="18" fillId="14" borderId="39" xfId="0" applyFont="1" applyFill="1" applyBorder="1" applyAlignment="1">
      <alignment horizontal="left" vertical="center"/>
    </xf>
    <xf numFmtId="0" fontId="18" fillId="14" borderId="39" xfId="0" applyFont="1" applyFill="1" applyBorder="1" applyAlignment="1">
      <alignment horizontal="center" vertical="center"/>
    </xf>
    <xf numFmtId="0" fontId="18" fillId="15" borderId="39" xfId="0" applyFont="1" applyFill="1" applyBorder="1" applyAlignment="1">
      <alignment vertical="center"/>
    </xf>
    <xf numFmtId="0" fontId="18" fillId="13" borderId="39" xfId="0" applyFont="1" applyFill="1" applyBorder="1" applyAlignment="1">
      <alignment horizontal="left" vertical="center" wrapText="1"/>
    </xf>
    <xf numFmtId="0" fontId="19" fillId="4" borderId="39" xfId="0" applyFont="1" applyFill="1" applyBorder="1" applyAlignment="1">
      <alignment horizontal="left" vertical="center" wrapText="1"/>
    </xf>
    <xf numFmtId="2" fontId="20" fillId="0" borderId="0" xfId="0" applyNumberFormat="1" applyFont="1" applyFill="1" applyBorder="1" applyAlignment="1">
      <alignment horizontal="left" vertical="center" wrapText="1"/>
    </xf>
    <xf numFmtId="0" fontId="15" fillId="2" borderId="15" xfId="0" applyFont="1" applyFill="1" applyBorder="1" applyAlignment="1" applyProtection="1">
      <alignment horizontal="center"/>
      <protection locked="0"/>
    </xf>
    <xf numFmtId="0" fontId="15" fillId="2" borderId="36" xfId="0" applyFont="1" applyFill="1" applyBorder="1" applyAlignment="1" applyProtection="1">
      <alignment horizontal="center"/>
      <protection locked="0"/>
    </xf>
    <xf numFmtId="0" fontId="15" fillId="2" borderId="35" xfId="0" applyFont="1" applyFill="1" applyBorder="1" applyAlignment="1" applyProtection="1">
      <alignment horizontal="center"/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right"/>
      <protection hidden="1"/>
    </xf>
    <xf numFmtId="0" fontId="5" fillId="0" borderId="23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" borderId="26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4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3" xfId="0" applyFont="1" applyBorder="1" applyAlignment="1" applyProtection="1">
      <alignment horizontal="center" vertical="top" wrapText="1"/>
      <protection locked="0"/>
    </xf>
    <xf numFmtId="0" fontId="22" fillId="0" borderId="29" xfId="0" applyFont="1" applyBorder="1" applyAlignment="1" applyProtection="1">
      <alignment horizontal="center" vertical="center" wrapText="1"/>
      <protection hidden="1"/>
    </xf>
    <xf numFmtId="0" fontId="22" fillId="0" borderId="24" xfId="0" applyFont="1" applyBorder="1" applyAlignment="1" applyProtection="1">
      <alignment horizontal="center" vertical="center" wrapText="1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left" vertical="top"/>
      <protection hidden="1"/>
    </xf>
    <xf numFmtId="0" fontId="12" fillId="0" borderId="3" xfId="0" applyFont="1" applyBorder="1" applyAlignment="1" applyProtection="1">
      <alignment horizontal="center" wrapText="1"/>
      <protection hidden="1"/>
    </xf>
    <xf numFmtId="0" fontId="12" fillId="0" borderId="4" xfId="0" applyFont="1" applyBorder="1" applyAlignment="1" applyProtection="1">
      <alignment horizontal="center" wrapText="1"/>
      <protection hidden="1"/>
    </xf>
    <xf numFmtId="0" fontId="12" fillId="0" borderId="40" xfId="0" applyFont="1" applyBorder="1" applyAlignment="1" applyProtection="1">
      <alignment horizontal="center" vertical="center"/>
      <protection hidden="1"/>
    </xf>
    <xf numFmtId="0" fontId="12" fillId="0" borderId="41" xfId="0" applyFont="1" applyBorder="1" applyAlignment="1" applyProtection="1">
      <alignment horizontal="center" vertical="center"/>
      <protection hidden="1"/>
    </xf>
    <xf numFmtId="0" fontId="11" fillId="0" borderId="28" xfId="0" applyFont="1" applyBorder="1" applyAlignment="1" applyProtection="1">
      <alignment horizontal="left"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1" fillId="0" borderId="23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30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23" fillId="0" borderId="10" xfId="0" applyFont="1" applyBorder="1" applyAlignment="1" applyProtection="1">
      <alignment horizontal="left" vertical="top" wrapText="1"/>
      <protection hidden="1"/>
    </xf>
    <xf numFmtId="0" fontId="23" fillId="0" borderId="5" xfId="0" applyFont="1" applyBorder="1" applyAlignment="1" applyProtection="1">
      <alignment horizontal="left" vertical="top" wrapText="1"/>
      <protection hidden="1"/>
    </xf>
    <xf numFmtId="0" fontId="23" fillId="0" borderId="7" xfId="0" applyFont="1" applyBorder="1" applyAlignment="1" applyProtection="1">
      <alignment horizontal="left" vertical="top" wrapText="1"/>
      <protection hidden="1"/>
    </xf>
    <xf numFmtId="0" fontId="23" fillId="0" borderId="11" xfId="0" applyFont="1" applyBorder="1" applyAlignment="1" applyProtection="1">
      <alignment horizontal="left" vertical="top" wrapText="1"/>
      <protection hidden="1"/>
    </xf>
    <xf numFmtId="0" fontId="23" fillId="0" borderId="0" xfId="0" applyFont="1" applyBorder="1" applyAlignment="1" applyProtection="1">
      <alignment horizontal="left" vertical="top" wrapText="1"/>
      <protection hidden="1"/>
    </xf>
    <xf numFmtId="0" fontId="23" fillId="0" borderId="8" xfId="0" applyFont="1" applyBorder="1" applyAlignment="1" applyProtection="1">
      <alignment horizontal="left" vertical="top" wrapText="1"/>
      <protection hidden="1"/>
    </xf>
    <xf numFmtId="0" fontId="23" fillId="0" borderId="12" xfId="0" applyFont="1" applyBorder="1" applyAlignment="1" applyProtection="1">
      <alignment horizontal="left" vertical="top" wrapText="1"/>
      <protection hidden="1"/>
    </xf>
    <xf numFmtId="0" fontId="23" fillId="0" borderId="1" xfId="0" applyFont="1" applyBorder="1" applyAlignment="1" applyProtection="1">
      <alignment horizontal="left" vertical="top" wrapText="1"/>
      <protection hidden="1"/>
    </xf>
    <xf numFmtId="0" fontId="23" fillId="0" borderId="9" xfId="0" applyFont="1" applyBorder="1" applyAlignment="1" applyProtection="1">
      <alignment horizontal="left" vertical="top" wrapText="1"/>
      <protection hidden="1"/>
    </xf>
    <xf numFmtId="0" fontId="4" fillId="0" borderId="13" xfId="0" applyFont="1" applyBorder="1" applyAlignment="1">
      <alignment horizontal="center"/>
    </xf>
    <xf numFmtId="0" fontId="6" fillId="0" borderId="13" xfId="0" applyFont="1" applyBorder="1" applyAlignment="1"/>
    <xf numFmtId="0" fontId="17" fillId="0" borderId="13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1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55" zoomScaleNormal="55" workbookViewId="0">
      <selection activeCell="C8" sqref="C8:E13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52.5703125" style="4" customWidth="1"/>
    <col min="6" max="6" width="18.42578125" style="4" customWidth="1"/>
    <col min="7" max="7" width="54.4257812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05" t="s">
        <v>468</v>
      </c>
      <c r="C1" s="105"/>
      <c r="D1" s="105"/>
      <c r="E1" s="105"/>
      <c r="F1" s="2"/>
      <c r="G1" s="3">
        <v>35</v>
      </c>
      <c r="J1" s="4" t="s">
        <v>14</v>
      </c>
    </row>
    <row r="2" spans="1:26" ht="17.25" customHeight="1" x14ac:dyDescent="0.25">
      <c r="A2" s="5" t="s">
        <v>6</v>
      </c>
      <c r="B2" s="106" t="str">
        <f>VLOOKUP(I3,'Base de Datos'!J2:L195,2,FALSE)</f>
        <v>LA LIBERTAD ZONA 0</v>
      </c>
      <c r="C2" s="106"/>
      <c r="D2" s="106"/>
      <c r="E2" s="106"/>
      <c r="F2" s="113" t="str">
        <f>VLOOKUP(I3,'Base de Datos'!J2:L195,3,FALSE)</f>
        <v>PETEN POPTUN - GUATEMALA</v>
      </c>
      <c r="G2" s="114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120" t="s">
        <v>469</v>
      </c>
      <c r="C3" s="120"/>
      <c r="D3" s="120"/>
      <c r="E3" s="120"/>
      <c r="F3" s="10"/>
      <c r="G3" s="11"/>
      <c r="I3" s="12">
        <v>3</v>
      </c>
      <c r="J3" s="12">
        <v>3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12" t="str">
        <f>VLOOKUP(J3,'Base de Datos'!A2:F122,2,FALSE)</f>
        <v>16 MAPLEWOOD DR</v>
      </c>
      <c r="C4" s="112"/>
      <c r="D4" s="112" t="str">
        <f>VLOOKUP(J3,'Base de Datos'!A2:F122,3,FALSE)</f>
        <v>MOUNTKISCO</v>
      </c>
      <c r="E4" s="112"/>
      <c r="F4" s="15" t="str">
        <f>VLOOKUP(J3,'Base de Datos'!A2:F122,4,FALSE)</f>
        <v>NY</v>
      </c>
      <c r="G4" s="16">
        <f>VLOOKUP(J3,'Base de Datos'!A2:F122,5,FALSE)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16">
        <v>7145650650</v>
      </c>
      <c r="C5" s="116"/>
      <c r="D5" s="113"/>
      <c r="E5" s="113"/>
      <c r="F5" s="17" t="s">
        <v>4</v>
      </c>
      <c r="G5" s="18">
        <f ca="1">TODAY()</f>
        <v>45645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10" t="s">
        <v>0</v>
      </c>
      <c r="B7" s="111"/>
      <c r="C7" s="111" t="s">
        <v>1</v>
      </c>
      <c r="D7" s="111"/>
      <c r="E7" s="111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26" t="s">
        <v>23</v>
      </c>
      <c r="B8" s="127"/>
      <c r="C8" s="132" t="s">
        <v>470</v>
      </c>
      <c r="D8" s="133"/>
      <c r="E8" s="134"/>
      <c r="F8" s="122">
        <v>20</v>
      </c>
      <c r="G8" s="118" t="s">
        <v>445</v>
      </c>
      <c r="J8" s="24"/>
      <c r="K8" s="24"/>
      <c r="L8" s="24"/>
    </row>
    <row r="9" spans="1:26" ht="15" customHeight="1" x14ac:dyDescent="0.25">
      <c r="A9" s="128"/>
      <c r="B9" s="129"/>
      <c r="C9" s="135"/>
      <c r="D9" s="136"/>
      <c r="E9" s="137"/>
      <c r="F9" s="123"/>
      <c r="G9" s="119"/>
      <c r="I9" s="25"/>
      <c r="J9" s="24"/>
      <c r="K9" s="24"/>
      <c r="L9" s="24"/>
    </row>
    <row r="10" spans="1:26" ht="15" customHeight="1" x14ac:dyDescent="0.2">
      <c r="A10" s="128"/>
      <c r="B10" s="129"/>
      <c r="C10" s="135"/>
      <c r="D10" s="136"/>
      <c r="E10" s="137"/>
      <c r="F10" s="123"/>
      <c r="G10" s="119"/>
      <c r="I10" s="26"/>
      <c r="J10" s="24"/>
      <c r="K10" s="24"/>
      <c r="L10" s="24"/>
    </row>
    <row r="11" spans="1:26" ht="38.25" customHeight="1" x14ac:dyDescent="0.2">
      <c r="A11" s="128"/>
      <c r="B11" s="129"/>
      <c r="C11" s="135"/>
      <c r="D11" s="136"/>
      <c r="E11" s="137"/>
      <c r="F11" s="123"/>
      <c r="G11" s="119"/>
    </row>
    <row r="12" spans="1:26" ht="27" customHeight="1" x14ac:dyDescent="0.2">
      <c r="A12" s="128"/>
      <c r="B12" s="129"/>
      <c r="C12" s="135"/>
      <c r="D12" s="136"/>
      <c r="E12" s="137"/>
      <c r="F12" s="124" t="s">
        <v>13</v>
      </c>
      <c r="G12" s="119"/>
    </row>
    <row r="13" spans="1:26" ht="241.5" customHeight="1" x14ac:dyDescent="0.2">
      <c r="A13" s="130"/>
      <c r="B13" s="131"/>
      <c r="C13" s="138"/>
      <c r="D13" s="139"/>
      <c r="E13" s="140"/>
      <c r="F13" s="125"/>
      <c r="G13" s="83" t="s">
        <v>444</v>
      </c>
    </row>
    <row r="14" spans="1:26" ht="21" customHeight="1" x14ac:dyDescent="0.2">
      <c r="A14" s="27"/>
      <c r="B14" s="28"/>
      <c r="C14" s="28"/>
      <c r="D14" s="28"/>
      <c r="E14" s="28"/>
      <c r="F14" s="28"/>
      <c r="G14" s="29"/>
    </row>
    <row r="15" spans="1:26" ht="18" x14ac:dyDescent="0.25">
      <c r="A15" s="107" t="s">
        <v>3</v>
      </c>
      <c r="B15" s="108"/>
      <c r="C15" s="109" t="s">
        <v>443</v>
      </c>
      <c r="D15" s="109"/>
      <c r="E15" s="109"/>
      <c r="F15" s="30" t="s">
        <v>7</v>
      </c>
      <c r="G15" s="31" t="str">
        <f>F2</f>
        <v>PETEN POPTUN - GUATEMALA</v>
      </c>
      <c r="H15" s="26"/>
      <c r="I15" s="26"/>
    </row>
    <row r="16" spans="1:26" ht="9" customHeight="1" thickBot="1" x14ac:dyDescent="0.25">
      <c r="A16" s="32"/>
      <c r="B16" s="33"/>
      <c r="C16" s="33"/>
      <c r="D16" s="33"/>
      <c r="E16" s="33"/>
      <c r="F16" s="33"/>
      <c r="G16" s="34"/>
      <c r="H16" s="26"/>
    </row>
    <row r="17" spans="1:14" ht="20.25" customHeight="1" x14ac:dyDescent="0.2">
      <c r="A17" s="121" t="s">
        <v>12</v>
      </c>
      <c r="B17" s="121"/>
      <c r="C17" s="121"/>
      <c r="D17" s="121"/>
      <c r="E17" s="121"/>
      <c r="F17" s="121"/>
      <c r="G17" s="121"/>
      <c r="H17" s="26"/>
      <c r="J17" s="117" t="s">
        <v>405</v>
      </c>
      <c r="K17" s="117"/>
      <c r="L17" s="117"/>
      <c r="M17" s="117"/>
      <c r="N17" s="9"/>
    </row>
    <row r="18" spans="1:14" ht="11.25" customHeight="1" x14ac:dyDescent="0.2">
      <c r="A18" s="30"/>
      <c r="B18" s="30"/>
      <c r="C18" s="30"/>
      <c r="D18" s="30"/>
      <c r="E18" s="30"/>
      <c r="F18" s="30"/>
      <c r="G18" s="30"/>
      <c r="J18" s="117"/>
      <c r="K18" s="117"/>
      <c r="L18" s="117"/>
      <c r="M18" s="117"/>
      <c r="N18" s="9"/>
    </row>
    <row r="19" spans="1:14" ht="21.75" customHeight="1" x14ac:dyDescent="0.2">
      <c r="A19" s="35"/>
      <c r="B19" s="35"/>
      <c r="C19" s="35"/>
      <c r="D19" s="35"/>
      <c r="E19" s="35"/>
      <c r="F19" s="35"/>
      <c r="G19" s="35"/>
      <c r="J19" s="117"/>
      <c r="K19" s="117"/>
      <c r="L19" s="117"/>
      <c r="M19" s="117"/>
      <c r="N19" s="9"/>
    </row>
    <row r="20" spans="1:14" ht="15.75" customHeight="1" x14ac:dyDescent="0.2">
      <c r="A20" s="35"/>
      <c r="B20" s="35"/>
      <c r="C20" s="35"/>
      <c r="D20" s="35"/>
      <c r="E20" s="35"/>
      <c r="F20" s="35"/>
      <c r="G20" s="35"/>
    </row>
    <row r="21" spans="1:14" ht="18.75" customHeight="1" x14ac:dyDescent="0.2">
      <c r="A21" s="35"/>
      <c r="B21" s="35"/>
      <c r="C21" s="35"/>
      <c r="D21" s="35"/>
      <c r="E21" s="35" t="s">
        <v>317</v>
      </c>
      <c r="F21" s="35"/>
      <c r="G21" s="35"/>
      <c r="J21" s="115"/>
      <c r="K21" s="115"/>
      <c r="L21" s="115"/>
    </row>
    <row r="22" spans="1:14" ht="15.75" customHeight="1" x14ac:dyDescent="0.2">
      <c r="A22" s="35"/>
      <c r="B22" s="35"/>
      <c r="C22" s="35"/>
      <c r="D22" s="35"/>
      <c r="E22" s="35"/>
      <c r="F22" s="35"/>
      <c r="G22" s="35"/>
      <c r="J22" s="115"/>
      <c r="K22" s="115"/>
      <c r="L22" s="115"/>
    </row>
    <row r="23" spans="1:14" ht="21.75" customHeight="1" x14ac:dyDescent="0.2">
      <c r="A23" s="35"/>
      <c r="B23" s="35"/>
      <c r="C23" s="35"/>
      <c r="D23" s="35"/>
      <c r="E23" s="35"/>
      <c r="F23" s="35"/>
      <c r="G23" s="35"/>
      <c r="J23" s="115"/>
      <c r="K23" s="115"/>
      <c r="L23" s="115"/>
    </row>
    <row r="24" spans="1:14" x14ac:dyDescent="0.2">
      <c r="A24" s="35"/>
      <c r="B24" s="35"/>
      <c r="C24" s="35"/>
      <c r="D24" s="35"/>
      <c r="E24" s="35"/>
      <c r="F24" s="35"/>
      <c r="G24" s="35"/>
    </row>
    <row r="25" spans="1:14" ht="16.5" customHeight="1" x14ac:dyDescent="0.2">
      <c r="A25" s="35"/>
      <c r="B25" s="35"/>
      <c r="C25" s="35"/>
      <c r="D25" s="35"/>
      <c r="E25" s="35"/>
      <c r="F25" s="35"/>
      <c r="G25" s="35"/>
    </row>
    <row r="26" spans="1:14" ht="32.25" customHeight="1" x14ac:dyDescent="0.4">
      <c r="A26" s="35"/>
      <c r="B26" s="35"/>
      <c r="C26" s="35"/>
      <c r="D26" s="35"/>
      <c r="E26" s="35"/>
      <c r="F26" s="35"/>
      <c r="G26" s="35"/>
      <c r="I26" s="100" t="s">
        <v>320</v>
      </c>
      <c r="J26" s="101"/>
      <c r="K26" s="101"/>
      <c r="L26" s="102"/>
      <c r="M26" s="9"/>
      <c r="N26" s="9"/>
    </row>
    <row r="27" spans="1:14" ht="43.5" customHeight="1" x14ac:dyDescent="0.4">
      <c r="A27" s="35"/>
      <c r="B27" s="35"/>
      <c r="C27" s="35"/>
      <c r="D27" s="35"/>
      <c r="E27" s="35"/>
      <c r="F27" s="35"/>
      <c r="G27" s="35"/>
      <c r="I27" s="103">
        <f>SUM(Gradle!D4:D1048576)</f>
        <v>0</v>
      </c>
      <c r="J27" s="103"/>
      <c r="K27" s="103"/>
      <c r="L27" s="103"/>
      <c r="M27" s="9"/>
      <c r="N27" s="9"/>
    </row>
    <row r="28" spans="1:14" ht="15" customHeight="1" x14ac:dyDescent="0.2">
      <c r="A28" s="35"/>
      <c r="B28" s="35"/>
      <c r="C28" s="35"/>
      <c r="D28" s="35"/>
      <c r="E28" s="35"/>
      <c r="F28" s="35"/>
      <c r="G28" s="35"/>
      <c r="J28" s="9"/>
      <c r="K28" s="9"/>
      <c r="L28" s="9"/>
      <c r="M28" s="9"/>
      <c r="N28" s="9"/>
    </row>
    <row r="29" spans="1:14" ht="18.75" customHeight="1" x14ac:dyDescent="0.2">
      <c r="A29" s="35"/>
      <c r="B29" s="35"/>
      <c r="C29" s="35"/>
      <c r="D29" s="35"/>
      <c r="E29" s="35"/>
      <c r="F29" s="35"/>
      <c r="G29" s="35"/>
    </row>
    <row r="30" spans="1:14" ht="15" customHeight="1" x14ac:dyDescent="0.2">
      <c r="A30" s="35"/>
      <c r="B30" s="35"/>
      <c r="C30" s="35"/>
      <c r="D30" s="35"/>
      <c r="E30" s="35"/>
      <c r="F30" s="35"/>
      <c r="G30" s="35"/>
    </row>
    <row r="31" spans="1:14" ht="34.5" customHeight="1" x14ac:dyDescent="0.2">
      <c r="A31" s="35"/>
      <c r="B31" s="35"/>
      <c r="C31" s="35"/>
      <c r="D31" s="35"/>
      <c r="E31" s="35"/>
      <c r="F31" s="35"/>
      <c r="G31" s="35"/>
    </row>
    <row r="32" spans="1:14" ht="6" customHeight="1" x14ac:dyDescent="0.2">
      <c r="A32" s="35"/>
      <c r="B32" s="35"/>
      <c r="C32" s="35"/>
      <c r="D32" s="35"/>
      <c r="E32" s="35"/>
      <c r="F32" s="35"/>
      <c r="G32" s="35"/>
    </row>
    <row r="33" spans="1:7" ht="18.75" customHeight="1" x14ac:dyDescent="0.2">
      <c r="A33" s="35"/>
      <c r="B33" s="35"/>
      <c r="C33" s="35"/>
      <c r="D33" s="35"/>
      <c r="E33" s="35"/>
      <c r="F33" s="35"/>
      <c r="G33" s="35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04"/>
      <c r="B35" s="104"/>
      <c r="C35" s="104"/>
      <c r="D35" s="104"/>
      <c r="E35" s="104"/>
      <c r="F35" s="104"/>
      <c r="G35" s="104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AB76"/>
  <sheetViews>
    <sheetView topLeftCell="O1" zoomScale="75" zoomScaleNormal="100" workbookViewId="0">
      <selection activeCell="S1" sqref="S1"/>
    </sheetView>
  </sheetViews>
  <sheetFormatPr baseColWidth="10" defaultRowHeight="15" x14ac:dyDescent="0.2"/>
  <cols>
    <col min="1" max="1" width="6.28515625" style="52" customWidth="1"/>
    <col min="2" max="5" width="11.42578125" style="52"/>
    <col min="6" max="7" width="131.42578125" style="52" customWidth="1"/>
    <col min="8" max="8" width="30.42578125" style="52" bestFit="1" customWidth="1"/>
    <col min="9" max="9" width="51.5703125" style="52" bestFit="1" customWidth="1"/>
    <col min="10" max="10" width="47.28515625" style="52" bestFit="1" customWidth="1"/>
    <col min="11" max="11" width="34.85546875" style="52" bestFit="1" customWidth="1"/>
    <col min="12" max="12" width="26.85546875" style="52" customWidth="1"/>
    <col min="13" max="13" width="32.28515625" style="52" bestFit="1" customWidth="1"/>
    <col min="14" max="15" width="25.5703125" style="52" customWidth="1"/>
    <col min="16" max="17" width="34.5703125" style="52" customWidth="1"/>
    <col min="18" max="18" width="21.85546875" style="52" customWidth="1"/>
    <col min="19" max="16384" width="11.42578125" style="52"/>
  </cols>
  <sheetData>
    <row r="1" spans="1:28" x14ac:dyDescent="0.2">
      <c r="A1" s="82" t="s">
        <v>426</v>
      </c>
      <c r="B1" s="74" t="s">
        <v>432</v>
      </c>
      <c r="C1" s="74" t="s">
        <v>439</v>
      </c>
      <c r="D1" s="74" t="s">
        <v>438</v>
      </c>
      <c r="E1" s="74" t="s">
        <v>406</v>
      </c>
      <c r="F1" s="74" t="s">
        <v>441</v>
      </c>
      <c r="G1" s="74" t="s">
        <v>440</v>
      </c>
      <c r="H1" s="74" t="s">
        <v>427</v>
      </c>
      <c r="I1" s="74" t="s">
        <v>428</v>
      </c>
      <c r="J1" s="74" t="s">
        <v>435</v>
      </c>
      <c r="K1" s="74" t="s">
        <v>429</v>
      </c>
      <c r="L1" s="74" t="s">
        <v>430</v>
      </c>
      <c r="M1" s="74" t="s">
        <v>431</v>
      </c>
      <c r="N1" s="74" t="s">
        <v>436</v>
      </c>
      <c r="O1" s="74" t="s">
        <v>16</v>
      </c>
      <c r="P1" s="74" t="s">
        <v>437</v>
      </c>
      <c r="Q1" s="74" t="s">
        <v>433</v>
      </c>
      <c r="R1" s="74" t="s">
        <v>442</v>
      </c>
      <c r="T1" s="60" t="s">
        <v>434</v>
      </c>
      <c r="U1" s="52">
        <v>0</v>
      </c>
    </row>
    <row r="2" spans="1:28" x14ac:dyDescent="0.2">
      <c r="A2" s="53"/>
      <c r="B2" s="53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64"/>
      <c r="T2" s="64"/>
      <c r="U2" s="64"/>
      <c r="V2" s="64"/>
      <c r="W2" s="64"/>
      <c r="X2" s="64"/>
      <c r="Y2" s="64"/>
      <c r="Z2" s="64"/>
      <c r="AA2" s="64"/>
      <c r="AB2" s="64"/>
    </row>
    <row r="3" spans="1:28" ht="25.5" customHeight="1" x14ac:dyDescent="0.2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64"/>
      <c r="T3" s="64"/>
      <c r="U3" s="64"/>
      <c r="V3" s="64"/>
      <c r="W3" s="64"/>
      <c r="X3" s="64"/>
      <c r="Y3" s="64"/>
      <c r="Z3" s="64"/>
      <c r="AA3" s="64"/>
      <c r="AB3" s="64"/>
    </row>
    <row r="4" spans="1:28" x14ac:dyDescent="0.2">
      <c r="A4" s="53"/>
      <c r="B4" s="53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64"/>
      <c r="T4" s="64"/>
      <c r="U4" s="64"/>
      <c r="V4" s="64"/>
      <c r="W4" s="64"/>
      <c r="X4" s="64"/>
      <c r="Y4" s="64"/>
      <c r="Z4" s="64"/>
      <c r="AA4" s="64"/>
      <c r="AB4" s="64"/>
    </row>
    <row r="5" spans="1:28" x14ac:dyDescent="0.2">
      <c r="A5" s="53"/>
      <c r="B5" s="53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64"/>
      <c r="T5" s="64"/>
      <c r="U5" s="64"/>
      <c r="V5" s="64"/>
      <c r="W5" s="64"/>
      <c r="X5" s="64"/>
      <c r="Y5" s="64"/>
      <c r="Z5" s="64"/>
      <c r="AA5" s="64"/>
      <c r="AB5" s="64"/>
    </row>
    <row r="6" spans="1:28" x14ac:dyDescent="0.2">
      <c r="A6" s="53"/>
      <c r="B6" s="53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64"/>
      <c r="T6" s="64"/>
      <c r="U6" s="64"/>
      <c r="V6" s="64"/>
      <c r="W6" s="64"/>
      <c r="X6" s="64"/>
      <c r="Y6" s="64"/>
      <c r="Z6" s="64"/>
      <c r="AA6" s="64"/>
      <c r="AB6" s="64"/>
    </row>
    <row r="7" spans="1:28" x14ac:dyDescent="0.2">
      <c r="A7" s="53"/>
      <c r="B7" s="53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64"/>
      <c r="T7" s="64"/>
      <c r="U7" s="64"/>
      <c r="V7" s="64"/>
      <c r="W7" s="64"/>
      <c r="X7" s="64"/>
      <c r="Y7" s="64"/>
      <c r="Z7" s="64"/>
      <c r="AA7" s="64"/>
      <c r="AB7" s="64"/>
    </row>
    <row r="8" spans="1:28" x14ac:dyDescent="0.2">
      <c r="A8" s="53"/>
      <c r="B8" s="53"/>
      <c r="C8" s="53"/>
      <c r="D8" s="53"/>
      <c r="E8" s="53"/>
      <c r="F8" s="88"/>
      <c r="G8" s="88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64"/>
      <c r="T8" s="64"/>
      <c r="U8" s="64"/>
      <c r="V8" s="64"/>
      <c r="W8" s="64"/>
      <c r="X8" s="64"/>
      <c r="Y8" s="64"/>
      <c r="Z8" s="64"/>
      <c r="AA8" s="64"/>
      <c r="AB8" s="64"/>
    </row>
    <row r="9" spans="1:28" x14ac:dyDescent="0.2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64"/>
      <c r="T9" s="64"/>
      <c r="U9" s="64"/>
      <c r="V9" s="64"/>
      <c r="W9" s="64"/>
      <c r="X9" s="64"/>
      <c r="Y9" s="64"/>
      <c r="Z9" s="64"/>
      <c r="AA9" s="64"/>
      <c r="AB9" s="64"/>
    </row>
    <row r="10" spans="1:28" x14ac:dyDescent="0.2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64"/>
      <c r="T10" s="64"/>
      <c r="U10" s="64"/>
      <c r="V10" s="64"/>
      <c r="W10" s="64"/>
      <c r="X10" s="64"/>
      <c r="Y10" s="64"/>
      <c r="Z10" s="64"/>
      <c r="AA10" s="64"/>
      <c r="AB10" s="64"/>
    </row>
    <row r="11" spans="1:28" x14ac:dyDescent="0.2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64"/>
      <c r="T11" s="64"/>
      <c r="U11" s="64"/>
      <c r="V11" s="64"/>
      <c r="W11" s="64"/>
      <c r="X11" s="64"/>
      <c r="Y11" s="64"/>
      <c r="Z11" s="64"/>
      <c r="AA11" s="64"/>
      <c r="AB11" s="64"/>
    </row>
    <row r="12" spans="1:28" x14ac:dyDescent="0.2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64"/>
      <c r="T12" s="64"/>
      <c r="U12" s="64"/>
      <c r="V12" s="64"/>
      <c r="W12" s="64"/>
      <c r="X12" s="64"/>
      <c r="Y12" s="64"/>
      <c r="Z12" s="64"/>
      <c r="AA12" s="64"/>
      <c r="AB12" s="64"/>
    </row>
    <row r="13" spans="1:28" x14ac:dyDescent="0.2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64"/>
      <c r="T13" s="64"/>
      <c r="U13" s="64"/>
      <c r="V13" s="64"/>
      <c r="W13" s="64"/>
      <c r="X13" s="64"/>
      <c r="Y13" s="64"/>
      <c r="Z13" s="64"/>
      <c r="AA13" s="64"/>
      <c r="AB13" s="64"/>
    </row>
    <row r="14" spans="1:28" x14ac:dyDescent="0.2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64"/>
      <c r="T14" s="64"/>
      <c r="U14" s="64"/>
      <c r="V14" s="64"/>
      <c r="W14" s="64"/>
      <c r="X14" s="64"/>
      <c r="Y14" s="64"/>
      <c r="Z14" s="64"/>
      <c r="AA14" s="64"/>
      <c r="AB14" s="64"/>
    </row>
    <row r="15" spans="1:28" x14ac:dyDescent="0.2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64"/>
      <c r="T15" s="64"/>
      <c r="U15" s="64"/>
      <c r="V15" s="64"/>
      <c r="W15" s="64"/>
      <c r="X15" s="64"/>
      <c r="Y15" s="64"/>
      <c r="Z15" s="64"/>
      <c r="AA15" s="64"/>
      <c r="AB15" s="64"/>
    </row>
    <row r="16" spans="1:28" x14ac:dyDescent="0.2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64"/>
      <c r="T16" s="64"/>
      <c r="U16" s="64"/>
      <c r="V16" s="64"/>
      <c r="W16" s="64"/>
      <c r="X16" s="64"/>
      <c r="Y16" s="64"/>
      <c r="Z16" s="64"/>
      <c r="AA16" s="64"/>
      <c r="AB16" s="64"/>
    </row>
    <row r="17" spans="1:28" x14ac:dyDescent="0.2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64"/>
      <c r="T17" s="64"/>
      <c r="U17" s="64"/>
      <c r="V17" s="64"/>
      <c r="W17" s="64"/>
      <c r="X17" s="64"/>
      <c r="Y17" s="64"/>
      <c r="Z17" s="64"/>
      <c r="AA17" s="64"/>
      <c r="AB17" s="64"/>
    </row>
    <row r="18" spans="1:28" x14ac:dyDescent="0.2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64"/>
      <c r="T18" s="64"/>
      <c r="U18" s="64"/>
      <c r="V18" s="64"/>
      <c r="W18" s="64"/>
      <c r="X18" s="64"/>
      <c r="Y18" s="64"/>
      <c r="Z18" s="64"/>
      <c r="AA18" s="64"/>
      <c r="AB18" s="64"/>
    </row>
    <row r="19" spans="1:28" x14ac:dyDescent="0.2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64"/>
      <c r="T19" s="64"/>
      <c r="U19" s="64"/>
      <c r="V19" s="64"/>
      <c r="W19" s="64"/>
      <c r="X19" s="64"/>
      <c r="Y19" s="64"/>
      <c r="Z19" s="64"/>
      <c r="AA19" s="64"/>
      <c r="AB19" s="64"/>
    </row>
    <row r="20" spans="1:28" s="87" customFormat="1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64"/>
      <c r="T20" s="64"/>
      <c r="U20" s="64"/>
      <c r="V20" s="64"/>
      <c r="W20" s="64"/>
      <c r="X20" s="64"/>
      <c r="Y20" s="64"/>
      <c r="Z20" s="64"/>
      <c r="AA20" s="64"/>
      <c r="AB20" s="64"/>
    </row>
    <row r="21" spans="1:28" x14ac:dyDescent="0.2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64"/>
      <c r="T21" s="64"/>
      <c r="U21" s="64"/>
      <c r="V21" s="64"/>
      <c r="W21" s="64"/>
      <c r="X21" s="64"/>
      <c r="Y21" s="64"/>
      <c r="Z21" s="64"/>
      <c r="AA21" s="64"/>
      <c r="AB21" s="64"/>
    </row>
    <row r="22" spans="1:28" x14ac:dyDescent="0.2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64"/>
      <c r="T22" s="64"/>
      <c r="U22" s="64"/>
      <c r="V22" s="64"/>
      <c r="W22" s="64"/>
      <c r="X22" s="64"/>
      <c r="Y22" s="64"/>
      <c r="Z22" s="64"/>
      <c r="AA22" s="64"/>
      <c r="AB22" s="64"/>
    </row>
    <row r="23" spans="1:28" x14ac:dyDescent="0.2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64"/>
      <c r="T23" s="64"/>
      <c r="U23" s="64"/>
      <c r="V23" s="64"/>
      <c r="W23" s="64"/>
      <c r="X23" s="64"/>
      <c r="Y23" s="64"/>
      <c r="Z23" s="64"/>
      <c r="AA23" s="64"/>
      <c r="AB23" s="64"/>
    </row>
    <row r="24" spans="1:28" x14ac:dyDescent="0.2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64"/>
      <c r="T24" s="64"/>
      <c r="U24" s="64"/>
      <c r="V24" s="64"/>
      <c r="W24" s="64"/>
      <c r="X24" s="64"/>
      <c r="Y24" s="64"/>
      <c r="Z24" s="64"/>
      <c r="AA24" s="64"/>
      <c r="AB24" s="64"/>
    </row>
    <row r="25" spans="1:28" s="86" customFormat="1" x14ac:dyDescent="0.2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64"/>
      <c r="T25" s="64"/>
      <c r="U25" s="64"/>
      <c r="V25" s="64"/>
      <c r="W25" s="64"/>
      <c r="X25" s="64"/>
      <c r="Y25" s="64"/>
      <c r="Z25" s="64"/>
      <c r="AA25" s="64"/>
      <c r="AB25" s="64"/>
    </row>
    <row r="26" spans="1:28" x14ac:dyDescent="0.2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64"/>
      <c r="T26" s="64"/>
      <c r="U26" s="64"/>
      <c r="V26" s="64"/>
      <c r="W26" s="64"/>
      <c r="X26" s="64"/>
      <c r="Y26" s="64"/>
      <c r="Z26" s="64"/>
      <c r="AA26" s="64"/>
      <c r="AB26" s="64"/>
    </row>
    <row r="27" spans="1:28" x14ac:dyDescent="0.2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64"/>
      <c r="T27" s="64"/>
      <c r="U27" s="64"/>
      <c r="V27" s="64"/>
      <c r="W27" s="64"/>
      <c r="X27" s="64"/>
      <c r="Y27" s="64"/>
      <c r="Z27" s="64"/>
      <c r="AA27" s="64"/>
      <c r="AB27" s="64"/>
    </row>
    <row r="28" spans="1:28" s="86" customFormat="1" x14ac:dyDescent="0.2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64"/>
      <c r="T28" s="64"/>
      <c r="U28" s="64"/>
      <c r="V28" s="64"/>
      <c r="W28" s="64"/>
      <c r="X28" s="64"/>
      <c r="Y28" s="64"/>
      <c r="Z28" s="64"/>
      <c r="AA28" s="64"/>
      <c r="AB28" s="64"/>
    </row>
    <row r="29" spans="1:28" x14ac:dyDescent="0.2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64"/>
      <c r="T29" s="64"/>
      <c r="U29" s="64"/>
      <c r="V29" s="64"/>
      <c r="W29" s="64"/>
      <c r="X29" s="64"/>
      <c r="Y29" s="64"/>
      <c r="Z29" s="64"/>
      <c r="AA29" s="64"/>
      <c r="AB29" s="64"/>
    </row>
    <row r="30" spans="1:28" x14ac:dyDescent="0.2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64"/>
      <c r="T30" s="64"/>
      <c r="U30" s="64"/>
      <c r="V30" s="64"/>
      <c r="W30" s="64"/>
      <c r="X30" s="64"/>
      <c r="Y30" s="64"/>
      <c r="Z30" s="64"/>
      <c r="AA30" s="64"/>
      <c r="AB30" s="64"/>
    </row>
    <row r="31" spans="1:28" x14ac:dyDescent="0.2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64"/>
      <c r="T31" s="64"/>
      <c r="U31" s="64"/>
      <c r="V31" s="64"/>
      <c r="W31" s="64"/>
      <c r="X31" s="64"/>
      <c r="Y31" s="64"/>
      <c r="Z31" s="64"/>
      <c r="AA31" s="64"/>
      <c r="AB31" s="64"/>
    </row>
    <row r="32" spans="1:28" x14ac:dyDescent="0.2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64"/>
      <c r="T32" s="64"/>
      <c r="U32" s="64"/>
      <c r="V32" s="64"/>
      <c r="W32" s="64"/>
      <c r="X32" s="64"/>
      <c r="Y32" s="64"/>
      <c r="Z32" s="64"/>
      <c r="AA32" s="64"/>
      <c r="AB32" s="64"/>
    </row>
    <row r="33" spans="1:28" x14ac:dyDescent="0.2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64"/>
      <c r="T33" s="64"/>
      <c r="U33" s="64"/>
      <c r="V33" s="64"/>
      <c r="W33" s="64"/>
      <c r="X33" s="64"/>
      <c r="Y33" s="64"/>
      <c r="Z33" s="64"/>
      <c r="AA33" s="64"/>
      <c r="AB33" s="64"/>
    </row>
    <row r="34" spans="1:28" x14ac:dyDescent="0.2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64"/>
      <c r="T34" s="64"/>
      <c r="U34" s="64"/>
      <c r="V34" s="64"/>
      <c r="W34" s="64"/>
      <c r="X34" s="64"/>
      <c r="Y34" s="64"/>
      <c r="Z34" s="64"/>
      <c r="AA34" s="64"/>
      <c r="AB34" s="64"/>
    </row>
    <row r="35" spans="1:28" x14ac:dyDescent="0.2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64"/>
      <c r="T35" s="64"/>
      <c r="U35" s="64"/>
      <c r="V35" s="64"/>
      <c r="W35" s="64"/>
      <c r="X35" s="64"/>
      <c r="Y35" s="64"/>
      <c r="Z35" s="64"/>
      <c r="AA35" s="64"/>
      <c r="AB35" s="64"/>
    </row>
    <row r="36" spans="1:28" s="86" customFormat="1" x14ac:dyDescent="0.2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64"/>
      <c r="T36" s="64"/>
      <c r="U36" s="64"/>
      <c r="V36" s="64"/>
      <c r="W36" s="64"/>
      <c r="X36" s="64"/>
      <c r="Y36" s="64"/>
      <c r="Z36" s="64"/>
      <c r="AA36" s="64"/>
      <c r="AB36" s="64"/>
    </row>
    <row r="37" spans="1:28" x14ac:dyDescent="0.2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64"/>
      <c r="T37" s="64"/>
      <c r="U37" s="64"/>
      <c r="V37" s="64"/>
      <c r="W37" s="64"/>
      <c r="X37" s="64"/>
      <c r="Y37" s="64"/>
      <c r="Z37" s="64"/>
      <c r="AA37" s="64"/>
      <c r="AB37" s="64"/>
    </row>
    <row r="38" spans="1:28" x14ac:dyDescent="0.2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</row>
    <row r="39" spans="1:28" x14ac:dyDescent="0.2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</row>
    <row r="40" spans="1:28" x14ac:dyDescent="0.2">
      <c r="A40" s="53"/>
      <c r="B40" s="53"/>
      <c r="C40" s="53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</row>
    <row r="41" spans="1:28" x14ac:dyDescent="0.2">
      <c r="A41" s="53"/>
      <c r="B41" s="53"/>
      <c r="C41" s="53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</row>
    <row r="42" spans="1:28" x14ac:dyDescent="0.2">
      <c r="A42" s="53"/>
      <c r="B42" s="53"/>
      <c r="C42" s="53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</row>
    <row r="43" spans="1:28" x14ac:dyDescent="0.2">
      <c r="A43" s="53"/>
      <c r="B43" s="53"/>
      <c r="C43" s="53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</row>
    <row r="44" spans="1:28" x14ac:dyDescent="0.2">
      <c r="A44" s="53"/>
      <c r="B44" s="53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</row>
    <row r="45" spans="1:28" x14ac:dyDescent="0.2">
      <c r="A45" s="53"/>
      <c r="B45" s="53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</row>
    <row r="46" spans="1:28" x14ac:dyDescent="0.2">
      <c r="A46" s="53"/>
      <c r="B46" s="53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</row>
    <row r="47" spans="1:28" x14ac:dyDescent="0.2">
      <c r="A47" s="53"/>
      <c r="B47" s="53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</row>
    <row r="48" spans="1:28" x14ac:dyDescent="0.2">
      <c r="A48" s="53"/>
      <c r="B48" s="53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</row>
    <row r="49" spans="1:18" x14ac:dyDescent="0.2">
      <c r="A49" s="53"/>
      <c r="B49" s="53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</row>
    <row r="50" spans="1:18" x14ac:dyDescent="0.2">
      <c r="A50" s="53"/>
      <c r="B50" s="53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</row>
    <row r="51" spans="1:18" x14ac:dyDescent="0.2">
      <c r="A51" s="53"/>
      <c r="B51" s="53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</row>
    <row r="52" spans="1:18" x14ac:dyDescent="0.2">
      <c r="A52" s="53"/>
      <c r="B52" s="53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</row>
    <row r="53" spans="1:18" x14ac:dyDescent="0.2">
      <c r="A53" s="53"/>
      <c r="B53" s="53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</row>
    <row r="54" spans="1:18" x14ac:dyDescent="0.2">
      <c r="A54" s="53"/>
      <c r="B54" s="53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</row>
    <row r="55" spans="1:18" x14ac:dyDescent="0.2">
      <c r="A55" s="53"/>
      <c r="B55" s="53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</row>
    <row r="56" spans="1:18" x14ac:dyDescent="0.2">
      <c r="A56" s="53"/>
      <c r="B56" s="53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</row>
    <row r="57" spans="1:18" x14ac:dyDescent="0.2">
      <c r="A57" s="53"/>
      <c r="B57" s="53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</row>
    <row r="58" spans="1:18" x14ac:dyDescent="0.2">
      <c r="A58" s="53"/>
      <c r="B58" s="53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</row>
    <row r="59" spans="1:18" x14ac:dyDescent="0.2">
      <c r="A59" s="56"/>
      <c r="B59" s="53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</row>
    <row r="60" spans="1:18" x14ac:dyDescent="0.2">
      <c r="A60" s="56"/>
      <c r="B60" s="53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</row>
    <row r="61" spans="1:18" x14ac:dyDescent="0.2">
      <c r="A61" s="56"/>
      <c r="B61" s="53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</row>
    <row r="62" spans="1:18" x14ac:dyDescent="0.2">
      <c r="A62" s="56"/>
      <c r="B62" s="53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</row>
    <row r="63" spans="1:18" x14ac:dyDescent="0.2">
      <c r="A63" s="56"/>
      <c r="B63" s="53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</row>
    <row r="64" spans="1:18" x14ac:dyDescent="0.2">
      <c r="A64" s="56"/>
      <c r="B64" s="53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</row>
    <row r="65" spans="1:18" x14ac:dyDescent="0.2">
      <c r="A65" s="56"/>
      <c r="B65" s="53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</row>
    <row r="66" spans="1:18" x14ac:dyDescent="0.2">
      <c r="A66" s="56"/>
      <c r="B66" s="53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</row>
    <row r="67" spans="1:18" x14ac:dyDescent="0.2">
      <c r="A67" s="56"/>
      <c r="B67" s="53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</row>
    <row r="68" spans="1:18" x14ac:dyDescent="0.2">
      <c r="A68" s="56"/>
      <c r="B68" s="53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</row>
    <row r="69" spans="1:18" x14ac:dyDescent="0.2">
      <c r="A69" s="56"/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</row>
    <row r="70" spans="1:18" x14ac:dyDescent="0.2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</row>
    <row r="71" spans="1:18" x14ac:dyDescent="0.2">
      <c r="A71" s="56"/>
      <c r="B71" s="53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</row>
    <row r="72" spans="1:18" x14ac:dyDescent="0.2">
      <c r="A72" s="56"/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</row>
    <row r="73" spans="1:18" x14ac:dyDescent="0.2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</row>
    <row r="74" spans="1:18" x14ac:dyDescent="0.2">
      <c r="A74" s="56"/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</row>
    <row r="75" spans="1:18" x14ac:dyDescent="0.2">
      <c r="A75" s="56"/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</row>
    <row r="76" spans="1:18" x14ac:dyDescent="0.2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</row>
  </sheetData>
  <sortState ref="A2:R74">
    <sortCondition ref="A19"/>
  </sortState>
  <conditionalFormatting sqref="K20:K29 K1 K8:K14 K16:K18 K31:K1048576">
    <cfRule type="duplicateValues" dxfId="194" priority="181"/>
    <cfRule type="duplicateValues" dxfId="193" priority="184"/>
    <cfRule type="duplicateValues" dxfId="192" priority="188"/>
    <cfRule type="duplicateValues" dxfId="191" priority="192"/>
    <cfRule type="duplicateValues" dxfId="190" priority="198"/>
  </conditionalFormatting>
  <conditionalFormatting sqref="L20:L29 L1 L8:L14 L16:L18 L31:L1048576">
    <cfRule type="duplicateValues" dxfId="189" priority="180"/>
    <cfRule type="duplicateValues" dxfId="188" priority="186"/>
    <cfRule type="duplicateValues" dxfId="187" priority="189"/>
    <cfRule type="duplicateValues" dxfId="186" priority="193"/>
    <cfRule type="duplicateValues" dxfId="185" priority="197"/>
  </conditionalFormatting>
  <conditionalFormatting sqref="M20:M29 M1 M8:M14 M16:M18 M31:M1048576">
    <cfRule type="duplicateValues" dxfId="184" priority="179"/>
    <cfRule type="duplicateValues" dxfId="183" priority="183"/>
    <cfRule type="duplicateValues" dxfId="182" priority="187"/>
    <cfRule type="duplicateValues" dxfId="181" priority="191"/>
    <cfRule type="duplicateValues" dxfId="180" priority="196"/>
  </conditionalFormatting>
  <conditionalFormatting sqref="B20:B29 B1 B8:B14 B16:B18 B31:B1048576">
    <cfRule type="duplicateValues" dxfId="179" priority="182"/>
    <cfRule type="duplicateValues" dxfId="178" priority="185"/>
    <cfRule type="duplicateValues" dxfId="177" priority="190"/>
    <cfRule type="duplicateValues" dxfId="176" priority="194"/>
    <cfRule type="duplicateValues" dxfId="175" priority="195"/>
  </conditionalFormatting>
  <conditionalFormatting sqref="K19">
    <cfRule type="duplicateValues" dxfId="174" priority="141"/>
    <cfRule type="duplicateValues" dxfId="173" priority="144"/>
    <cfRule type="duplicateValues" dxfId="172" priority="148"/>
    <cfRule type="duplicateValues" dxfId="171" priority="152"/>
    <cfRule type="duplicateValues" dxfId="170" priority="158"/>
  </conditionalFormatting>
  <conditionalFormatting sqref="L19">
    <cfRule type="duplicateValues" dxfId="169" priority="140"/>
    <cfRule type="duplicateValues" dxfId="168" priority="146"/>
    <cfRule type="duplicateValues" dxfId="167" priority="149"/>
    <cfRule type="duplicateValues" dxfId="166" priority="153"/>
    <cfRule type="duplicateValues" dxfId="165" priority="157"/>
  </conditionalFormatting>
  <conditionalFormatting sqref="M19">
    <cfRule type="duplicateValues" dxfId="164" priority="139"/>
    <cfRule type="duplicateValues" dxfId="163" priority="143"/>
    <cfRule type="duplicateValues" dxfId="162" priority="147"/>
    <cfRule type="duplicateValues" dxfId="161" priority="151"/>
    <cfRule type="duplicateValues" dxfId="160" priority="156"/>
  </conditionalFormatting>
  <conditionalFormatting sqref="B19">
    <cfRule type="duplicateValues" dxfId="159" priority="142"/>
    <cfRule type="duplicateValues" dxfId="158" priority="145"/>
    <cfRule type="duplicateValues" dxfId="157" priority="150"/>
    <cfRule type="duplicateValues" dxfId="156" priority="154"/>
    <cfRule type="duplicateValues" dxfId="155" priority="155"/>
  </conditionalFormatting>
  <conditionalFormatting sqref="B16:B29 B1 B8:B14 B31:B1048576">
    <cfRule type="duplicateValues" dxfId="154" priority="118"/>
  </conditionalFormatting>
  <conditionalFormatting sqref="L16:L29 L1 L8:L14 L31:L1048576">
    <cfRule type="duplicateValues" dxfId="153" priority="117"/>
  </conditionalFormatting>
  <conditionalFormatting sqref="K16:K29 K1 K8:K14 K31:K1048576">
    <cfRule type="duplicateValues" dxfId="152" priority="116"/>
  </conditionalFormatting>
  <conditionalFormatting sqref="K15">
    <cfRule type="duplicateValues" dxfId="151" priority="98"/>
    <cfRule type="duplicateValues" dxfId="150" priority="101"/>
    <cfRule type="duplicateValues" dxfId="149" priority="105"/>
    <cfRule type="duplicateValues" dxfId="148" priority="109"/>
    <cfRule type="duplicateValues" dxfId="147" priority="115"/>
  </conditionalFormatting>
  <conditionalFormatting sqref="L15">
    <cfRule type="duplicateValues" dxfId="146" priority="97"/>
    <cfRule type="duplicateValues" dxfId="145" priority="103"/>
    <cfRule type="duplicateValues" dxfId="144" priority="106"/>
    <cfRule type="duplicateValues" dxfId="143" priority="110"/>
    <cfRule type="duplicateValues" dxfId="142" priority="114"/>
  </conditionalFormatting>
  <conditionalFormatting sqref="M15">
    <cfRule type="duplicateValues" dxfId="141" priority="96"/>
    <cfRule type="duplicateValues" dxfId="140" priority="100"/>
    <cfRule type="duplicateValues" dxfId="139" priority="104"/>
    <cfRule type="duplicateValues" dxfId="138" priority="108"/>
    <cfRule type="duplicateValues" dxfId="137" priority="113"/>
  </conditionalFormatting>
  <conditionalFormatting sqref="B15">
    <cfRule type="duplicateValues" dxfId="136" priority="99"/>
    <cfRule type="duplicateValues" dxfId="135" priority="102"/>
    <cfRule type="duplicateValues" dxfId="134" priority="107"/>
    <cfRule type="duplicateValues" dxfId="133" priority="111"/>
    <cfRule type="duplicateValues" dxfId="132" priority="112"/>
  </conditionalFormatting>
  <conditionalFormatting sqref="B15">
    <cfRule type="duplicateValues" dxfId="131" priority="95"/>
  </conditionalFormatting>
  <conditionalFormatting sqref="L15">
    <cfRule type="duplicateValues" dxfId="130" priority="94"/>
  </conditionalFormatting>
  <conditionalFormatting sqref="K15">
    <cfRule type="duplicateValues" dxfId="129" priority="93"/>
  </conditionalFormatting>
  <conditionalFormatting sqref="B8:B29 B1 B31:B1048576">
    <cfRule type="duplicateValues" dxfId="128" priority="92"/>
  </conditionalFormatting>
  <conditionalFormatting sqref="K8:K29 K1 K31:K1048576">
    <cfRule type="duplicateValues" dxfId="127" priority="91"/>
  </conditionalFormatting>
  <conditionalFormatting sqref="K3">
    <cfRule type="duplicateValues" dxfId="126" priority="53"/>
    <cfRule type="duplicateValues" dxfId="125" priority="56"/>
    <cfRule type="duplicateValues" dxfId="124" priority="60"/>
    <cfRule type="duplicateValues" dxfId="123" priority="64"/>
    <cfRule type="duplicateValues" dxfId="122" priority="70"/>
  </conditionalFormatting>
  <conditionalFormatting sqref="L3">
    <cfRule type="duplicateValues" dxfId="121" priority="52"/>
    <cfRule type="duplicateValues" dxfId="120" priority="58"/>
    <cfRule type="duplicateValues" dxfId="119" priority="61"/>
    <cfRule type="duplicateValues" dxfId="118" priority="65"/>
    <cfRule type="duplicateValues" dxfId="117" priority="69"/>
  </conditionalFormatting>
  <conditionalFormatting sqref="M3">
    <cfRule type="duplicateValues" dxfId="116" priority="51"/>
    <cfRule type="duplicateValues" dxfId="115" priority="55"/>
    <cfRule type="duplicateValues" dxfId="114" priority="59"/>
    <cfRule type="duplicateValues" dxfId="113" priority="63"/>
    <cfRule type="duplicateValues" dxfId="112" priority="68"/>
  </conditionalFormatting>
  <conditionalFormatting sqref="B3">
    <cfRule type="duplicateValues" dxfId="111" priority="54"/>
    <cfRule type="duplicateValues" dxfId="110" priority="57"/>
    <cfRule type="duplicateValues" dxfId="109" priority="62"/>
    <cfRule type="duplicateValues" dxfId="108" priority="66"/>
    <cfRule type="duplicateValues" dxfId="107" priority="67"/>
  </conditionalFormatting>
  <conditionalFormatting sqref="B3">
    <cfRule type="duplicateValues" dxfId="106" priority="50"/>
  </conditionalFormatting>
  <conditionalFormatting sqref="L3">
    <cfRule type="duplicateValues" dxfId="105" priority="49"/>
  </conditionalFormatting>
  <conditionalFormatting sqref="K3">
    <cfRule type="duplicateValues" dxfId="104" priority="48"/>
  </conditionalFormatting>
  <conditionalFormatting sqref="B3">
    <cfRule type="duplicateValues" dxfId="103" priority="47"/>
  </conditionalFormatting>
  <conditionalFormatting sqref="K3">
    <cfRule type="duplicateValues" dxfId="102" priority="46"/>
  </conditionalFormatting>
  <conditionalFormatting sqref="K2">
    <cfRule type="duplicateValues" dxfId="101" priority="28"/>
    <cfRule type="duplicateValues" dxfId="100" priority="31"/>
    <cfRule type="duplicateValues" dxfId="99" priority="35"/>
    <cfRule type="duplicateValues" dxfId="98" priority="39"/>
    <cfRule type="duplicateValues" dxfId="97" priority="45"/>
  </conditionalFormatting>
  <conditionalFormatting sqref="L2">
    <cfRule type="duplicateValues" dxfId="96" priority="27"/>
    <cfRule type="duplicateValues" dxfId="95" priority="33"/>
    <cfRule type="duplicateValues" dxfId="94" priority="36"/>
    <cfRule type="duplicateValues" dxfId="93" priority="40"/>
    <cfRule type="duplicateValues" dxfId="92" priority="44"/>
  </conditionalFormatting>
  <conditionalFormatting sqref="M2">
    <cfRule type="duplicateValues" dxfId="91" priority="26"/>
    <cfRule type="duplicateValues" dxfId="90" priority="30"/>
    <cfRule type="duplicateValues" dxfId="89" priority="34"/>
    <cfRule type="duplicateValues" dxfId="88" priority="38"/>
    <cfRule type="duplicateValues" dxfId="87" priority="43"/>
  </conditionalFormatting>
  <conditionalFormatting sqref="B2">
    <cfRule type="duplicateValues" dxfId="86" priority="29"/>
    <cfRule type="duplicateValues" dxfId="85" priority="32"/>
    <cfRule type="duplicateValues" dxfId="84" priority="37"/>
    <cfRule type="duplicateValues" dxfId="83" priority="41"/>
    <cfRule type="duplicateValues" dxfId="82" priority="42"/>
  </conditionalFormatting>
  <conditionalFormatting sqref="K4:K7">
    <cfRule type="duplicateValues" dxfId="81" priority="525"/>
    <cfRule type="duplicateValues" dxfId="80" priority="526"/>
    <cfRule type="duplicateValues" dxfId="79" priority="527"/>
    <cfRule type="duplicateValues" dxfId="78" priority="528"/>
    <cfRule type="duplicateValues" dxfId="77" priority="529"/>
  </conditionalFormatting>
  <conditionalFormatting sqref="L4:L7">
    <cfRule type="duplicateValues" dxfId="76" priority="530"/>
    <cfRule type="duplicateValues" dxfId="75" priority="531"/>
    <cfRule type="duplicateValues" dxfId="74" priority="532"/>
    <cfRule type="duplicateValues" dxfId="73" priority="533"/>
    <cfRule type="duplicateValues" dxfId="72" priority="534"/>
  </conditionalFormatting>
  <conditionalFormatting sqref="M4:M7">
    <cfRule type="duplicateValues" dxfId="71" priority="535"/>
    <cfRule type="duplicateValues" dxfId="70" priority="536"/>
    <cfRule type="duplicateValues" dxfId="69" priority="537"/>
    <cfRule type="duplicateValues" dxfId="68" priority="538"/>
    <cfRule type="duplicateValues" dxfId="67" priority="539"/>
  </conditionalFormatting>
  <conditionalFormatting sqref="B4:B7">
    <cfRule type="duplicateValues" dxfId="66" priority="540"/>
    <cfRule type="duplicateValues" dxfId="65" priority="541"/>
    <cfRule type="duplicateValues" dxfId="64" priority="542"/>
    <cfRule type="duplicateValues" dxfId="63" priority="543"/>
    <cfRule type="duplicateValues" dxfId="62" priority="544"/>
  </conditionalFormatting>
  <conditionalFormatting sqref="K30">
    <cfRule type="duplicateValues" dxfId="61" priority="8"/>
    <cfRule type="duplicateValues" dxfId="60" priority="11"/>
    <cfRule type="duplicateValues" dxfId="59" priority="15"/>
    <cfRule type="duplicateValues" dxfId="58" priority="19"/>
    <cfRule type="duplicateValues" dxfId="57" priority="25"/>
  </conditionalFormatting>
  <conditionalFormatting sqref="L30">
    <cfRule type="duplicateValues" dxfId="56" priority="7"/>
    <cfRule type="duplicateValues" dxfId="55" priority="13"/>
    <cfRule type="duplicateValues" dxfId="54" priority="16"/>
    <cfRule type="duplicateValues" dxfId="53" priority="20"/>
    <cfRule type="duplicateValues" dxfId="52" priority="24"/>
  </conditionalFormatting>
  <conditionalFormatting sqref="M30">
    <cfRule type="duplicateValues" dxfId="51" priority="6"/>
    <cfRule type="duplicateValues" dxfId="50" priority="10"/>
    <cfRule type="duplicateValues" dxfId="49" priority="14"/>
    <cfRule type="duplicateValues" dxfId="48" priority="18"/>
    <cfRule type="duplicateValues" dxfId="47" priority="23"/>
  </conditionalFormatting>
  <conditionalFormatting sqref="B30">
    <cfRule type="duplicateValues" dxfId="46" priority="9"/>
    <cfRule type="duplicateValues" dxfId="45" priority="12"/>
    <cfRule type="duplicateValues" dxfId="44" priority="17"/>
    <cfRule type="duplicateValues" dxfId="43" priority="21"/>
    <cfRule type="duplicateValues" dxfId="42" priority="22"/>
  </conditionalFormatting>
  <conditionalFormatting sqref="B30">
    <cfRule type="duplicateValues" dxfId="41" priority="5"/>
  </conditionalFormatting>
  <conditionalFormatting sqref="L30">
    <cfRule type="duplicateValues" dxfId="40" priority="4"/>
  </conditionalFormatting>
  <conditionalFormatting sqref="K30">
    <cfRule type="duplicateValues" dxfId="39" priority="3"/>
  </conditionalFormatting>
  <conditionalFormatting sqref="B30">
    <cfRule type="duplicateValues" dxfId="38" priority="2"/>
  </conditionalFormatting>
  <conditionalFormatting sqref="K30">
    <cfRule type="duplicateValues" dxfId="37" priority="1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zoomScale="81" zoomScaleNormal="89" workbookViewId="0">
      <selection activeCell="F2" sqref="F2"/>
    </sheetView>
  </sheetViews>
  <sheetFormatPr baseColWidth="10" defaultRowHeight="15" x14ac:dyDescent="0.2"/>
  <cols>
    <col min="1" max="1" width="15" style="52" bestFit="1" customWidth="1"/>
    <col min="2" max="2" width="14.7109375" style="52" customWidth="1"/>
    <col min="3" max="3" width="18.42578125" style="52" bestFit="1" customWidth="1"/>
    <col min="4" max="4" width="16.28515625" style="52" bestFit="1" customWidth="1"/>
    <col min="5" max="5" width="14.42578125" style="52" bestFit="1" customWidth="1"/>
    <col min="6" max="6" width="40.5703125" style="52" customWidth="1"/>
    <col min="7" max="7" width="64.5703125" style="52" customWidth="1"/>
    <col min="8" max="8" width="52.28515625" style="52" customWidth="1"/>
    <col min="9" max="9" width="26.85546875" style="52" bestFit="1" customWidth="1"/>
    <col min="10" max="10" width="10.28515625" style="52" bestFit="1" customWidth="1"/>
    <col min="11" max="11" width="24.85546875" style="52" bestFit="1" customWidth="1"/>
    <col min="12" max="12" width="46.28515625" style="52" bestFit="1" customWidth="1"/>
    <col min="13" max="13" width="46.140625" style="52" bestFit="1" customWidth="1"/>
    <col min="14" max="14" width="27.85546875" style="52" bestFit="1" customWidth="1"/>
    <col min="15" max="15" width="15.28515625" style="52" bestFit="1" customWidth="1"/>
    <col min="16" max="16" width="10.28515625" style="52" bestFit="1" customWidth="1"/>
    <col min="17" max="17" width="26.85546875" style="52" bestFit="1" customWidth="1"/>
    <col min="18" max="18" width="108.85546875" style="85" customWidth="1"/>
    <col min="19" max="19" width="10" style="59" bestFit="1" customWidth="1"/>
    <col min="20" max="23" width="11.42578125" style="52"/>
    <col min="24" max="24" width="11.7109375" style="52" customWidth="1"/>
    <col min="25" max="16384" width="11.42578125" style="52"/>
  </cols>
  <sheetData>
    <row r="1" spans="1:28" x14ac:dyDescent="0.2">
      <c r="A1" s="141" t="s">
        <v>316</v>
      </c>
      <c r="B1" s="141"/>
      <c r="C1" s="141"/>
      <c r="D1" s="141"/>
      <c r="E1" s="141"/>
      <c r="F1" s="49" t="s">
        <v>471</v>
      </c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84"/>
      <c r="S1" s="51"/>
      <c r="W1" s="53"/>
      <c r="X1" s="53"/>
      <c r="Y1" s="53"/>
    </row>
    <row r="2" spans="1:28" ht="21.75" customHeight="1" x14ac:dyDescent="0.2">
      <c r="A2" s="92" t="s">
        <v>105</v>
      </c>
      <c r="B2" s="92" t="s">
        <v>318</v>
      </c>
      <c r="C2" s="92" t="s">
        <v>106</v>
      </c>
      <c r="D2" s="92" t="s">
        <v>319</v>
      </c>
      <c r="E2" s="92" t="s">
        <v>10</v>
      </c>
      <c r="F2" s="93" t="s">
        <v>321</v>
      </c>
      <c r="G2" s="94" t="s">
        <v>322</v>
      </c>
      <c r="H2" s="94" t="s">
        <v>323</v>
      </c>
      <c r="I2" s="93" t="s">
        <v>107</v>
      </c>
      <c r="J2" s="93" t="s">
        <v>108</v>
      </c>
      <c r="K2" s="95" t="s">
        <v>109</v>
      </c>
      <c r="L2" s="96" t="s">
        <v>324</v>
      </c>
      <c r="M2" s="96" t="s">
        <v>325</v>
      </c>
      <c r="N2" s="96" t="s">
        <v>326</v>
      </c>
      <c r="O2" s="96" t="s">
        <v>327</v>
      </c>
      <c r="P2" s="96" t="s">
        <v>108</v>
      </c>
      <c r="Q2" s="96" t="s">
        <v>109</v>
      </c>
      <c r="R2" s="97" t="s">
        <v>110</v>
      </c>
      <c r="S2" s="98" t="s">
        <v>111</v>
      </c>
      <c r="W2" s="54"/>
      <c r="X2" s="54"/>
      <c r="Y2" s="53"/>
      <c r="AB2" s="55"/>
    </row>
    <row r="3" spans="1:28" s="56" customFormat="1" ht="15.75" customHeight="1" x14ac:dyDescent="0.2">
      <c r="B3" s="57"/>
      <c r="C3" s="57"/>
      <c r="D3" s="57"/>
      <c r="E3" s="99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W3" s="53"/>
      <c r="X3" s="53"/>
      <c r="Y3" s="53"/>
    </row>
    <row r="4" spans="1:28" s="56" customFormat="1" ht="15.75" customHeight="1" x14ac:dyDescent="0.2">
      <c r="A4" s="57"/>
      <c r="B4" s="57"/>
      <c r="C4" s="57"/>
      <c r="D4" s="57"/>
      <c r="E4" s="99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W4" s="53"/>
      <c r="X4" s="53"/>
      <c r="Y4" s="53"/>
    </row>
    <row r="5" spans="1:28" s="56" customFormat="1" ht="13.5" customHeight="1" x14ac:dyDescent="0.2">
      <c r="B5" s="57"/>
      <c r="C5" s="57"/>
      <c r="D5" s="57"/>
      <c r="E5" s="99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</row>
    <row r="6" spans="1:28" s="56" customFormat="1" ht="36" customHeight="1" x14ac:dyDescent="0.2">
      <c r="D6" s="58"/>
      <c r="E6" s="58"/>
      <c r="Q6" s="58"/>
      <c r="R6" s="75"/>
      <c r="S6" s="57"/>
    </row>
    <row r="7" spans="1:28" s="56" customFormat="1" ht="21" customHeight="1" x14ac:dyDescent="0.2">
      <c r="D7" s="58"/>
      <c r="E7" s="58"/>
      <c r="Q7" s="58"/>
      <c r="R7" s="75"/>
      <c r="S7" s="57"/>
    </row>
    <row r="8" spans="1:28" s="56" customFormat="1" ht="39.75" customHeight="1" x14ac:dyDescent="0.2">
      <c r="D8" s="58"/>
      <c r="E8" s="58"/>
      <c r="Q8" s="58"/>
      <c r="R8" s="75"/>
      <c r="S8" s="57"/>
    </row>
    <row r="9" spans="1:28" s="56" customFormat="1" ht="19.5" customHeight="1" x14ac:dyDescent="0.2">
      <c r="D9" s="58"/>
      <c r="E9" s="58"/>
      <c r="Q9" s="58"/>
      <c r="R9" s="75"/>
      <c r="S9" s="57"/>
    </row>
    <row r="10" spans="1:28" s="56" customFormat="1" x14ac:dyDescent="0.2">
      <c r="D10" s="58"/>
      <c r="E10" s="58"/>
      <c r="Q10" s="58"/>
      <c r="R10" s="75"/>
      <c r="S10" s="57"/>
    </row>
    <row r="11" spans="1:28" s="56" customFormat="1" x14ac:dyDescent="0.2">
      <c r="D11" s="58"/>
      <c r="E11" s="58"/>
      <c r="Q11" s="58"/>
      <c r="R11" s="75"/>
      <c r="S11" s="57"/>
    </row>
    <row r="12" spans="1:28" s="56" customFormat="1" x14ac:dyDescent="0.2">
      <c r="D12" s="58"/>
      <c r="E12" s="58"/>
      <c r="Q12" s="58"/>
      <c r="R12" s="75"/>
      <c r="S12" s="57"/>
    </row>
    <row r="13" spans="1:28" s="56" customFormat="1" x14ac:dyDescent="0.2">
      <c r="D13" s="58"/>
      <c r="E13" s="58"/>
      <c r="Q13" s="58"/>
      <c r="R13" s="75"/>
      <c r="S13" s="57"/>
    </row>
    <row r="14" spans="1:28" s="56" customFormat="1" x14ac:dyDescent="0.2">
      <c r="D14" s="58"/>
      <c r="E14" s="58"/>
      <c r="Q14" s="58"/>
      <c r="R14" s="75"/>
      <c r="S14" s="57"/>
    </row>
    <row r="15" spans="1:28" s="56" customFormat="1" x14ac:dyDescent="0.2">
      <c r="D15" s="58"/>
      <c r="E15" s="58"/>
      <c r="Q15" s="58"/>
      <c r="R15" s="75"/>
      <c r="S15" s="57"/>
    </row>
    <row r="16" spans="1:28" s="56" customFormat="1" x14ac:dyDescent="0.2">
      <c r="D16" s="58"/>
      <c r="E16" s="58"/>
      <c r="Q16" s="58"/>
      <c r="R16" s="75"/>
      <c r="S16" s="57"/>
    </row>
    <row r="17" spans="4:19" s="56" customFormat="1" x14ac:dyDescent="0.2">
      <c r="D17" s="58"/>
      <c r="E17" s="58"/>
      <c r="Q17" s="58"/>
      <c r="R17" s="75"/>
      <c r="S17" s="57"/>
    </row>
    <row r="18" spans="4:19" s="56" customFormat="1" x14ac:dyDescent="0.2">
      <c r="D18" s="58"/>
      <c r="E18" s="58"/>
      <c r="Q18" s="58"/>
      <c r="R18" s="75"/>
      <c r="S18" s="57"/>
    </row>
    <row r="19" spans="4:19" s="56" customFormat="1" x14ac:dyDescent="0.2">
      <c r="D19" s="58"/>
      <c r="E19" s="58"/>
      <c r="Q19" s="58"/>
      <c r="R19" s="75"/>
      <c r="S19" s="57"/>
    </row>
    <row r="20" spans="4:19" s="56" customFormat="1" x14ac:dyDescent="0.2">
      <c r="D20" s="58"/>
      <c r="E20" s="58"/>
      <c r="Q20" s="58"/>
      <c r="R20" s="75"/>
      <c r="S20" s="57"/>
    </row>
    <row r="21" spans="4:19" s="56" customFormat="1" x14ac:dyDescent="0.2">
      <c r="D21" s="58"/>
      <c r="E21" s="58"/>
      <c r="Q21" s="58"/>
      <c r="R21" s="75"/>
      <c r="S21" s="57"/>
    </row>
    <row r="22" spans="4:19" s="56" customFormat="1" x14ac:dyDescent="0.2">
      <c r="D22" s="58"/>
      <c r="E22" s="58"/>
      <c r="Q22" s="58"/>
      <c r="R22" s="75"/>
      <c r="S22" s="57"/>
    </row>
    <row r="23" spans="4:19" s="56" customFormat="1" ht="68.25" customHeight="1" x14ac:dyDescent="0.2">
      <c r="D23" s="58"/>
      <c r="E23" s="58"/>
      <c r="Q23" s="58"/>
      <c r="R23" s="75"/>
      <c r="S23" s="57"/>
    </row>
    <row r="24" spans="4:19" s="56" customFormat="1" x14ac:dyDescent="0.2">
      <c r="D24" s="58"/>
      <c r="E24" s="58"/>
      <c r="Q24" s="58"/>
      <c r="R24" s="75"/>
      <c r="S24" s="57"/>
    </row>
    <row r="25" spans="4:19" s="56" customFormat="1" x14ac:dyDescent="0.2">
      <c r="D25" s="58"/>
      <c r="E25" s="58"/>
      <c r="Q25" s="58"/>
      <c r="R25" s="75"/>
      <c r="S25" s="57"/>
    </row>
    <row r="26" spans="4:19" s="56" customFormat="1" x14ac:dyDescent="0.2">
      <c r="D26" s="58"/>
      <c r="E26" s="58"/>
      <c r="Q26" s="58"/>
      <c r="R26" s="75"/>
      <c r="S26" s="57"/>
    </row>
    <row r="27" spans="4:19" s="56" customFormat="1" x14ac:dyDescent="0.2">
      <c r="D27" s="58"/>
      <c r="E27" s="58"/>
      <c r="Q27" s="58"/>
      <c r="R27" s="75"/>
      <c r="S27" s="57"/>
    </row>
    <row r="28" spans="4:19" s="56" customFormat="1" x14ac:dyDescent="0.2">
      <c r="D28" s="58"/>
      <c r="E28" s="58"/>
      <c r="Q28" s="58"/>
      <c r="R28" s="75"/>
      <c r="S28" s="57"/>
    </row>
    <row r="29" spans="4:19" s="56" customFormat="1" x14ac:dyDescent="0.2">
      <c r="D29" s="58"/>
      <c r="E29" s="58"/>
      <c r="Q29" s="58"/>
      <c r="R29" s="75"/>
      <c r="S29" s="57"/>
    </row>
    <row r="30" spans="4:19" s="56" customFormat="1" ht="143.25" customHeight="1" x14ac:dyDescent="0.2">
      <c r="D30" s="58"/>
      <c r="E30" s="58"/>
      <c r="Q30" s="58"/>
      <c r="R30" s="75"/>
      <c r="S30" s="58"/>
    </row>
    <row r="31" spans="4:19" s="56" customFormat="1" x14ac:dyDescent="0.2">
      <c r="D31" s="58"/>
      <c r="E31" s="58"/>
      <c r="Q31" s="58"/>
      <c r="R31" s="75"/>
      <c r="S31" s="58"/>
    </row>
    <row r="32" spans="4:19" s="56" customFormat="1" x14ac:dyDescent="0.2">
      <c r="D32" s="58"/>
      <c r="E32" s="58"/>
      <c r="Q32" s="58"/>
      <c r="R32" s="75"/>
      <c r="S32" s="58"/>
    </row>
    <row r="33" spans="4:19" s="56" customFormat="1" x14ac:dyDescent="0.2">
      <c r="D33" s="58"/>
      <c r="E33" s="58"/>
      <c r="Q33" s="58"/>
      <c r="R33" s="75"/>
      <c r="S33" s="58"/>
    </row>
    <row r="34" spans="4:19" s="56" customFormat="1" x14ac:dyDescent="0.2">
      <c r="D34" s="58"/>
      <c r="E34" s="58"/>
      <c r="Q34" s="58"/>
      <c r="R34" s="75"/>
      <c r="S34" s="58"/>
    </row>
    <row r="35" spans="4:19" s="56" customFormat="1" ht="92.25" customHeight="1" x14ac:dyDescent="0.2">
      <c r="D35" s="58"/>
      <c r="E35" s="58"/>
      <c r="Q35" s="58"/>
      <c r="R35" s="75"/>
      <c r="S35" s="58"/>
    </row>
    <row r="36" spans="4:19" s="56" customFormat="1" x14ac:dyDescent="0.2">
      <c r="D36" s="58"/>
      <c r="E36" s="58"/>
      <c r="Q36" s="58"/>
      <c r="R36" s="75"/>
      <c r="S36" s="58"/>
    </row>
    <row r="37" spans="4:19" s="56" customFormat="1" x14ac:dyDescent="0.2">
      <c r="D37" s="58"/>
      <c r="E37" s="58"/>
      <c r="Q37" s="58"/>
      <c r="R37" s="75"/>
      <c r="S37" s="58"/>
    </row>
    <row r="38" spans="4:19" s="56" customFormat="1" x14ac:dyDescent="0.2">
      <c r="D38" s="58"/>
      <c r="E38" s="58"/>
      <c r="Q38" s="58"/>
      <c r="R38" s="75"/>
      <c r="S38" s="58"/>
    </row>
    <row r="39" spans="4:19" s="56" customFormat="1" ht="69.75" customHeight="1" x14ac:dyDescent="0.2">
      <c r="D39" s="58"/>
      <c r="E39" s="58"/>
      <c r="Q39" s="58"/>
      <c r="R39" s="75"/>
      <c r="S39" s="58"/>
    </row>
    <row r="40" spans="4:19" s="56" customFormat="1" ht="90.75" customHeight="1" x14ac:dyDescent="0.2">
      <c r="D40" s="58"/>
      <c r="E40" s="58"/>
      <c r="Q40" s="58"/>
      <c r="R40" s="75"/>
      <c r="S40" s="58"/>
    </row>
    <row r="41" spans="4:19" s="56" customFormat="1" x14ac:dyDescent="0.2">
      <c r="D41" s="58"/>
      <c r="E41" s="58"/>
      <c r="Q41" s="58"/>
      <c r="R41" s="75"/>
      <c r="S41" s="58"/>
    </row>
    <row r="42" spans="4:19" s="56" customFormat="1" x14ac:dyDescent="0.2">
      <c r="D42" s="58"/>
      <c r="E42" s="58"/>
      <c r="Q42" s="58"/>
      <c r="R42" s="75"/>
      <c r="S42" s="58"/>
    </row>
    <row r="43" spans="4:19" s="56" customFormat="1" x14ac:dyDescent="0.2">
      <c r="D43" s="58"/>
      <c r="E43" s="58"/>
      <c r="Q43" s="58"/>
      <c r="R43" s="75"/>
      <c r="S43" s="58"/>
    </row>
    <row r="44" spans="4:19" s="56" customFormat="1" x14ac:dyDescent="0.2">
      <c r="D44" s="58"/>
      <c r="E44" s="58"/>
      <c r="Q44" s="58"/>
      <c r="R44" s="75"/>
      <c r="S44" s="58"/>
    </row>
    <row r="45" spans="4:19" s="56" customFormat="1" x14ac:dyDescent="0.2">
      <c r="D45" s="58"/>
      <c r="E45" s="58"/>
      <c r="Q45" s="58"/>
      <c r="R45" s="75"/>
      <c r="S45" s="58"/>
    </row>
    <row r="46" spans="4:19" s="56" customFormat="1" x14ac:dyDescent="0.2">
      <c r="D46" s="58"/>
      <c r="E46" s="58"/>
      <c r="Q46" s="58"/>
      <c r="R46" s="75"/>
      <c r="S46" s="58"/>
    </row>
    <row r="47" spans="4:19" s="56" customFormat="1" x14ac:dyDescent="0.2">
      <c r="D47" s="58"/>
      <c r="E47" s="58"/>
      <c r="Q47" s="58"/>
      <c r="R47" s="75"/>
      <c r="S47" s="58"/>
    </row>
    <row r="48" spans="4:19" s="56" customFormat="1" ht="45.75" customHeight="1" x14ac:dyDescent="0.2">
      <c r="D48" s="58"/>
      <c r="E48" s="58"/>
      <c r="Q48" s="58"/>
      <c r="R48" s="75"/>
      <c r="S48" s="58"/>
    </row>
    <row r="49" spans="4:19" s="56" customFormat="1" ht="137.25" customHeight="1" x14ac:dyDescent="0.2">
      <c r="D49" s="58"/>
      <c r="E49" s="58"/>
      <c r="Q49" s="58"/>
      <c r="R49" s="75"/>
      <c r="S49" s="58"/>
    </row>
    <row r="50" spans="4:19" s="56" customFormat="1" ht="63.75" customHeight="1" x14ac:dyDescent="0.2">
      <c r="D50" s="58"/>
      <c r="E50" s="58"/>
      <c r="Q50" s="58"/>
      <c r="R50" s="75"/>
      <c r="S50" s="58"/>
    </row>
    <row r="51" spans="4:19" s="56" customFormat="1" x14ac:dyDescent="0.2">
      <c r="D51" s="58"/>
      <c r="E51" s="58"/>
      <c r="Q51" s="58"/>
      <c r="R51" s="75"/>
      <c r="S51" s="58"/>
    </row>
    <row r="52" spans="4:19" s="56" customFormat="1" ht="62.25" customHeight="1" x14ac:dyDescent="0.2">
      <c r="D52" s="58"/>
      <c r="E52" s="58"/>
      <c r="Q52" s="58"/>
      <c r="R52" s="75"/>
      <c r="S52" s="58"/>
    </row>
    <row r="53" spans="4:19" s="56" customFormat="1" ht="103.5" customHeight="1" x14ac:dyDescent="0.2">
      <c r="D53" s="58"/>
      <c r="E53" s="58"/>
      <c r="Q53" s="58"/>
      <c r="R53" s="75"/>
      <c r="S53" s="58"/>
    </row>
    <row r="54" spans="4:19" s="56" customFormat="1" ht="65.25" customHeight="1" x14ac:dyDescent="0.2">
      <c r="D54" s="58"/>
      <c r="E54" s="58"/>
      <c r="Q54" s="58"/>
      <c r="R54" s="75"/>
      <c r="S54" s="58"/>
    </row>
    <row r="55" spans="4:19" s="56" customFormat="1" ht="82.5" customHeight="1" x14ac:dyDescent="0.2">
      <c r="D55" s="58"/>
      <c r="E55" s="58"/>
      <c r="Q55" s="58"/>
      <c r="R55" s="75"/>
      <c r="S55" s="58"/>
    </row>
    <row r="56" spans="4:19" s="56" customFormat="1" ht="53.25" customHeight="1" x14ac:dyDescent="0.2">
      <c r="D56" s="58"/>
      <c r="E56" s="58"/>
      <c r="Q56" s="58"/>
      <c r="R56" s="75"/>
      <c r="S56" s="58"/>
    </row>
    <row r="57" spans="4:19" s="56" customFormat="1" x14ac:dyDescent="0.2">
      <c r="D57" s="58"/>
      <c r="E57" s="58"/>
      <c r="Q57" s="58"/>
      <c r="R57" s="75"/>
      <c r="S57" s="58"/>
    </row>
    <row r="58" spans="4:19" s="56" customFormat="1" x14ac:dyDescent="0.2">
      <c r="D58" s="58"/>
      <c r="E58" s="58"/>
      <c r="Q58" s="58"/>
      <c r="R58" s="75"/>
      <c r="S58" s="58"/>
    </row>
    <row r="59" spans="4:19" s="56" customFormat="1" x14ac:dyDescent="0.2">
      <c r="D59" s="58"/>
      <c r="E59" s="58"/>
      <c r="Q59" s="58"/>
      <c r="R59" s="75"/>
      <c r="S59" s="58"/>
    </row>
    <row r="60" spans="4:19" s="56" customFormat="1" ht="54" customHeight="1" x14ac:dyDescent="0.2">
      <c r="D60" s="58"/>
      <c r="E60" s="58"/>
      <c r="Q60" s="58"/>
      <c r="R60" s="75"/>
      <c r="S60" s="58"/>
    </row>
    <row r="61" spans="4:19" s="56" customFormat="1" x14ac:dyDescent="0.2">
      <c r="D61" s="58"/>
      <c r="E61" s="58"/>
      <c r="Q61" s="58"/>
      <c r="R61" s="75"/>
      <c r="S61" s="58"/>
    </row>
    <row r="62" spans="4:19" s="56" customFormat="1" x14ac:dyDescent="0.2">
      <c r="D62" s="58"/>
      <c r="E62" s="58"/>
      <c r="Q62" s="58"/>
      <c r="R62" s="75"/>
      <c r="S62" s="58"/>
    </row>
    <row r="63" spans="4:19" s="56" customFormat="1" x14ac:dyDescent="0.2">
      <c r="D63" s="58"/>
      <c r="E63" s="58"/>
      <c r="Q63" s="58"/>
      <c r="R63" s="75"/>
      <c r="S63" s="58"/>
    </row>
    <row r="64" spans="4:19" s="56" customFormat="1" x14ac:dyDescent="0.2">
      <c r="D64" s="58"/>
      <c r="E64" s="58"/>
      <c r="Q64" s="58"/>
      <c r="R64" s="75"/>
      <c r="S64" s="58"/>
    </row>
    <row r="65" spans="1:19" x14ac:dyDescent="0.2">
      <c r="A65" s="56"/>
      <c r="B65" s="56"/>
      <c r="C65" s="56"/>
      <c r="D65" s="58"/>
      <c r="E65" s="58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8"/>
      <c r="R65" s="75"/>
      <c r="S65" s="58"/>
    </row>
    <row r="66" spans="1:19" x14ac:dyDescent="0.2">
      <c r="A66" s="56"/>
      <c r="B66" s="56"/>
      <c r="C66" s="56"/>
      <c r="D66" s="58"/>
      <c r="E66" s="58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8"/>
      <c r="R66" s="75"/>
      <c r="S66" s="58"/>
    </row>
    <row r="67" spans="1:19" x14ac:dyDescent="0.2">
      <c r="A67" s="56"/>
      <c r="B67" s="56"/>
      <c r="C67" s="56"/>
      <c r="D67" s="58"/>
      <c r="E67" s="58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8"/>
      <c r="R67" s="75"/>
      <c r="S67" s="58"/>
    </row>
    <row r="68" spans="1:19" x14ac:dyDescent="0.2">
      <c r="A68" s="56"/>
      <c r="B68" s="56"/>
      <c r="C68" s="56"/>
      <c r="D68" s="58"/>
      <c r="E68" s="58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8"/>
      <c r="R68" s="75"/>
      <c r="S68" s="58"/>
    </row>
    <row r="69" spans="1:19" x14ac:dyDescent="0.2">
      <c r="A69" s="56"/>
      <c r="B69" s="56"/>
      <c r="C69" s="56"/>
      <c r="D69" s="58"/>
      <c r="E69" s="58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8"/>
      <c r="R69" s="75"/>
      <c r="S69" s="58"/>
    </row>
    <row r="70" spans="1:19" x14ac:dyDescent="0.2">
      <c r="A70" s="56"/>
      <c r="B70" s="56"/>
      <c r="C70" s="56"/>
      <c r="D70" s="58"/>
      <c r="E70" s="58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8"/>
      <c r="R70" s="75"/>
      <c r="S70" s="58"/>
    </row>
    <row r="71" spans="1:19" x14ac:dyDescent="0.2">
      <c r="A71" s="56"/>
      <c r="B71" s="56"/>
      <c r="C71" s="56"/>
      <c r="D71" s="58"/>
      <c r="E71" s="58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8"/>
      <c r="R71" s="75"/>
      <c r="S71" s="58"/>
    </row>
    <row r="72" spans="1:19" x14ac:dyDescent="0.2">
      <c r="A72" s="56"/>
      <c r="B72" s="56"/>
      <c r="C72" s="56"/>
      <c r="D72" s="58"/>
      <c r="E72" s="58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8"/>
      <c r="R72" s="75"/>
      <c r="S72" s="58"/>
    </row>
    <row r="73" spans="1:19" x14ac:dyDescent="0.2">
      <c r="A73" s="56"/>
      <c r="B73" s="56"/>
      <c r="C73" s="56"/>
      <c r="D73" s="58"/>
      <c r="E73" s="58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8"/>
      <c r="R73" s="75"/>
      <c r="S73" s="58"/>
    </row>
    <row r="74" spans="1:19" x14ac:dyDescent="0.2">
      <c r="A74" s="56"/>
      <c r="B74" s="56"/>
      <c r="C74" s="56"/>
      <c r="D74" s="58"/>
      <c r="E74" s="58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8"/>
      <c r="R74" s="75"/>
      <c r="S74" s="58"/>
    </row>
    <row r="75" spans="1:19" x14ac:dyDescent="0.2">
      <c r="A75" s="56"/>
      <c r="B75" s="56"/>
      <c r="C75" s="56"/>
      <c r="D75" s="58"/>
      <c r="E75" s="58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8"/>
      <c r="R75" s="75"/>
      <c r="S75" s="58"/>
    </row>
    <row r="76" spans="1:19" x14ac:dyDescent="0.2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75"/>
      <c r="S76" s="58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36" priority="4"/>
    <cfRule type="duplicateValues" dxfId="35" priority="7"/>
    <cfRule type="duplicateValues" dxfId="34" priority="1"/>
  </conditionalFormatting>
  <conditionalFormatting sqref="M1:M1048576">
    <cfRule type="duplicateValues" dxfId="33" priority="3"/>
    <cfRule type="duplicateValues" dxfId="32" priority="5"/>
    <cfRule type="duplicateValues" dxfId="31" priority="6"/>
  </conditionalFormatting>
  <conditionalFormatting sqref="A1:A1048576">
    <cfRule type="duplicateValues" dxfId="30" priority="2"/>
  </conditionalFormatting>
  <pageMargins left="0.18" right="0.38" top="0.51" bottom="0.34" header="0.3" footer="0.3"/>
  <pageSetup scale="33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70" zoomScaleNormal="70" workbookViewId="0">
      <selection activeCell="C30" sqref="C30"/>
    </sheetView>
  </sheetViews>
  <sheetFormatPr baseColWidth="10" defaultRowHeight="18" x14ac:dyDescent="0.25"/>
  <cols>
    <col min="1" max="1" width="10.42578125" style="40" bestFit="1" customWidth="1"/>
    <col min="2" max="2" width="26" style="40" bestFit="1" customWidth="1"/>
    <col min="3" max="3" width="31.42578125" style="40" bestFit="1" customWidth="1"/>
    <col min="4" max="4" width="22.5703125" style="40" bestFit="1" customWidth="1"/>
    <col min="5" max="5" width="29.7109375" style="40" bestFit="1" customWidth="1"/>
    <col min="6" max="6" width="17.42578125" style="40" bestFit="1" customWidth="1"/>
    <col min="7" max="7" width="35" style="40" bestFit="1" customWidth="1"/>
    <col min="8" max="8" width="23.85546875" style="40" bestFit="1" customWidth="1"/>
    <col min="9" max="9" width="11.5703125" style="40" bestFit="1" customWidth="1"/>
    <col min="10" max="10" width="20.5703125" style="40" bestFit="1" customWidth="1"/>
    <col min="11" max="11" width="14.140625" style="38" bestFit="1" customWidth="1"/>
    <col min="12" max="12" width="20.42578125" style="48" bestFit="1" customWidth="1"/>
    <col min="13" max="13" width="22.42578125" style="40" bestFit="1" customWidth="1"/>
    <col min="14" max="14" width="29.85546875" style="40" bestFit="1" customWidth="1"/>
    <col min="15" max="15" width="23" style="40" bestFit="1" customWidth="1"/>
    <col min="16" max="16" width="19" style="40" bestFit="1" customWidth="1"/>
    <col min="17" max="17" width="24" style="40" bestFit="1" customWidth="1"/>
    <col min="18" max="18" width="21.28515625" style="40" bestFit="1" customWidth="1"/>
    <col min="19" max="19" width="38.5703125" style="40" bestFit="1" customWidth="1"/>
    <col min="20" max="20" width="19.85546875" style="40" bestFit="1" customWidth="1"/>
    <col min="21" max="21" width="41.7109375" style="40" bestFit="1" customWidth="1"/>
    <col min="22" max="22" width="33" style="40" bestFit="1" customWidth="1"/>
    <col min="23" max="23" width="27.140625" style="40" bestFit="1" customWidth="1"/>
    <col min="24" max="24" width="30.42578125" style="40" bestFit="1" customWidth="1"/>
    <col min="25" max="25" width="25.7109375" style="40" bestFit="1" customWidth="1"/>
    <col min="26" max="26" width="43" style="40" bestFit="1" customWidth="1"/>
    <col min="27" max="27" width="24.28515625" style="40" bestFit="1" customWidth="1"/>
    <col min="28" max="28" width="46.140625" style="40" bestFit="1" customWidth="1"/>
    <col min="29" max="29" width="37.42578125" style="40" bestFit="1" customWidth="1"/>
    <col min="30" max="30" width="31.42578125" style="40" bestFit="1" customWidth="1"/>
    <col min="31" max="31" width="34.85546875" style="40" bestFit="1" customWidth="1"/>
    <col min="32" max="32" width="26.140625" style="40" bestFit="1" customWidth="1"/>
    <col min="33" max="33" width="27" style="40" bestFit="1" customWidth="1"/>
    <col min="34" max="34" width="30.5703125" style="40" bestFit="1" customWidth="1"/>
    <col min="35" max="35" width="25.5703125" style="40" bestFit="1" customWidth="1"/>
    <col min="36" max="36" width="31.28515625" style="40" bestFit="1" customWidth="1"/>
    <col min="37" max="37" width="35.5703125" style="40" bestFit="1" customWidth="1"/>
    <col min="38" max="38" width="25.5703125" style="40" bestFit="1" customWidth="1"/>
    <col min="39" max="39" width="34.7109375" style="40" bestFit="1" customWidth="1"/>
    <col min="40" max="40" width="26.42578125" style="40" bestFit="1" customWidth="1"/>
    <col min="41" max="41" width="33.140625" style="40" bestFit="1" customWidth="1"/>
    <col min="42" max="42" width="21.140625" style="40" bestFit="1" customWidth="1"/>
    <col min="43" max="43" width="30.85546875" style="40" bestFit="1" customWidth="1"/>
    <col min="44" max="44" width="38.28515625" style="40" bestFit="1" customWidth="1"/>
    <col min="45" max="45" width="28.85546875" style="40" bestFit="1" customWidth="1"/>
    <col min="46" max="46" width="26.85546875" style="40" bestFit="1" customWidth="1"/>
    <col min="47" max="47" width="30.5703125" style="40" bestFit="1" customWidth="1"/>
    <col min="48" max="48" width="41.85546875" style="40" bestFit="1" customWidth="1"/>
    <col min="49" max="49" width="17.7109375" style="40" bestFit="1" customWidth="1"/>
    <col min="50" max="50" width="22.28515625" style="40" bestFit="1" customWidth="1"/>
    <col min="51" max="51" width="28.7109375" style="40" bestFit="1" customWidth="1"/>
    <col min="52" max="52" width="25.85546875" style="40" bestFit="1" customWidth="1"/>
    <col min="53" max="53" width="24.85546875" style="40" bestFit="1" customWidth="1"/>
    <col min="54" max="54" width="18.42578125" style="40" bestFit="1" customWidth="1"/>
    <col min="55" max="55" width="27.7109375" style="40" bestFit="1" customWidth="1"/>
    <col min="56" max="56" width="7.140625" style="40" bestFit="1" customWidth="1"/>
    <col min="57" max="16384" width="11.42578125" style="40"/>
  </cols>
  <sheetData>
    <row r="1" spans="1:56" x14ac:dyDescent="0.25">
      <c r="A1" s="143" t="s">
        <v>316</v>
      </c>
      <c r="B1" s="143"/>
      <c r="C1" s="143"/>
      <c r="D1" s="39" t="s">
        <v>471</v>
      </c>
      <c r="E1" s="61"/>
      <c r="F1" s="142"/>
      <c r="G1" s="142"/>
      <c r="H1" s="62"/>
      <c r="I1" s="41"/>
      <c r="J1" s="41"/>
      <c r="K1" s="42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3"/>
      <c r="BA1" s="41"/>
      <c r="BB1" s="41"/>
      <c r="BC1" s="41"/>
      <c r="BD1" s="41"/>
    </row>
    <row r="2" spans="1:56" x14ac:dyDescent="0.25">
      <c r="A2" s="76" t="s">
        <v>378</v>
      </c>
      <c r="B2" s="76" t="s">
        <v>379</v>
      </c>
      <c r="C2" s="76" t="s">
        <v>380</v>
      </c>
      <c r="D2" s="77" t="s">
        <v>381</v>
      </c>
      <c r="E2" s="78" t="s">
        <v>382</v>
      </c>
      <c r="F2" s="78" t="s">
        <v>328</v>
      </c>
      <c r="G2" s="78" t="s">
        <v>329</v>
      </c>
      <c r="H2" s="78" t="s">
        <v>330</v>
      </c>
      <c r="I2" s="78" t="s">
        <v>331</v>
      </c>
      <c r="J2" s="78" t="s">
        <v>332</v>
      </c>
      <c r="K2" s="79" t="s">
        <v>333</v>
      </c>
      <c r="L2" s="78" t="s">
        <v>334</v>
      </c>
      <c r="M2" s="78" t="s">
        <v>335</v>
      </c>
      <c r="N2" s="78" t="s">
        <v>336</v>
      </c>
      <c r="O2" s="78" t="s">
        <v>337</v>
      </c>
      <c r="P2" s="78" t="s">
        <v>338</v>
      </c>
      <c r="Q2" s="78" t="s">
        <v>339</v>
      </c>
      <c r="R2" s="78" t="s">
        <v>340</v>
      </c>
      <c r="S2" s="78" t="s">
        <v>341</v>
      </c>
      <c r="T2" s="78" t="s">
        <v>342</v>
      </c>
      <c r="U2" s="78" t="s">
        <v>343</v>
      </c>
      <c r="V2" s="78" t="s">
        <v>344</v>
      </c>
      <c r="W2" s="78" t="s">
        <v>345</v>
      </c>
      <c r="X2" s="78" t="s">
        <v>346</v>
      </c>
      <c r="Y2" s="78" t="s">
        <v>347</v>
      </c>
      <c r="Z2" s="78" t="s">
        <v>348</v>
      </c>
      <c r="AA2" s="78" t="s">
        <v>349</v>
      </c>
      <c r="AB2" s="78" t="s">
        <v>350</v>
      </c>
      <c r="AC2" s="78" t="s">
        <v>351</v>
      </c>
      <c r="AD2" s="78" t="s">
        <v>352</v>
      </c>
      <c r="AE2" s="78" t="s">
        <v>353</v>
      </c>
      <c r="AF2" s="78" t="s">
        <v>354</v>
      </c>
      <c r="AG2" s="78" t="s">
        <v>355</v>
      </c>
      <c r="AH2" s="78" t="s">
        <v>356</v>
      </c>
      <c r="AI2" s="78" t="s">
        <v>357</v>
      </c>
      <c r="AJ2" s="78" t="s">
        <v>358</v>
      </c>
      <c r="AK2" s="78" t="s">
        <v>359</v>
      </c>
      <c r="AL2" s="78" t="s">
        <v>360</v>
      </c>
      <c r="AM2" s="78" t="s">
        <v>361</v>
      </c>
      <c r="AN2" s="78" t="s">
        <v>362</v>
      </c>
      <c r="AO2" s="78" t="s">
        <v>363</v>
      </c>
      <c r="AP2" s="78" t="s">
        <v>364</v>
      </c>
      <c r="AQ2" s="78" t="s">
        <v>365</v>
      </c>
      <c r="AR2" s="78" t="s">
        <v>366</v>
      </c>
      <c r="AS2" s="78" t="s">
        <v>367</v>
      </c>
      <c r="AT2" s="78" t="s">
        <v>368</v>
      </c>
      <c r="AU2" s="78" t="s">
        <v>369</v>
      </c>
      <c r="AV2" s="78" t="s">
        <v>370</v>
      </c>
      <c r="AW2" s="78" t="s">
        <v>371</v>
      </c>
      <c r="AX2" s="78" t="s">
        <v>372</v>
      </c>
      <c r="AY2" s="78" t="s">
        <v>373</v>
      </c>
      <c r="AZ2" s="80" t="s">
        <v>374</v>
      </c>
      <c r="BA2" s="78" t="s">
        <v>375</v>
      </c>
      <c r="BB2" s="78" t="s">
        <v>376</v>
      </c>
      <c r="BC2" s="78" t="s">
        <v>377</v>
      </c>
      <c r="BD2" s="78" t="s">
        <v>111</v>
      </c>
    </row>
    <row r="3" spans="1:56" s="44" customFormat="1" ht="16.5" customHeight="1" x14ac:dyDescent="0.25">
      <c r="K3" s="36"/>
      <c r="L3" s="81"/>
    </row>
    <row r="4" spans="1:56" s="44" customFormat="1" x14ac:dyDescent="0.25">
      <c r="K4" s="36"/>
      <c r="L4" s="81"/>
    </row>
    <row r="5" spans="1:56" s="44" customFormat="1" ht="15.75" customHeight="1" x14ac:dyDescent="0.25">
      <c r="K5" s="36"/>
      <c r="L5" s="81"/>
    </row>
    <row r="6" spans="1:56" s="44" customFormat="1" x14ac:dyDescent="0.25">
      <c r="K6" s="36"/>
      <c r="L6" s="37"/>
    </row>
    <row r="7" spans="1:56" s="44" customFormat="1" x14ac:dyDescent="0.25">
      <c r="K7" s="36"/>
      <c r="L7" s="37"/>
    </row>
    <row r="8" spans="1:56" s="44" customFormat="1" ht="15.75" customHeight="1" x14ac:dyDescent="0.25">
      <c r="K8" s="36"/>
      <c r="L8" s="37"/>
    </row>
    <row r="9" spans="1:56" s="44" customFormat="1" ht="15" customHeight="1" x14ac:dyDescent="0.25">
      <c r="K9" s="36"/>
      <c r="L9" s="37"/>
    </row>
    <row r="10" spans="1:56" s="44" customFormat="1" ht="15.75" customHeight="1" x14ac:dyDescent="0.25">
      <c r="K10" s="36"/>
      <c r="L10" s="37"/>
    </row>
    <row r="11" spans="1:56" s="44" customFormat="1" ht="15.75" customHeight="1" x14ac:dyDescent="0.25">
      <c r="K11" s="36"/>
      <c r="L11" s="37"/>
    </row>
    <row r="12" spans="1:56" s="44" customFormat="1" ht="16.5" customHeight="1" x14ac:dyDescent="0.25">
      <c r="K12" s="36"/>
      <c r="L12" s="37"/>
    </row>
    <row r="13" spans="1:56" s="44" customFormat="1" x14ac:dyDescent="0.25">
      <c r="K13" s="36"/>
      <c r="L13" s="37"/>
    </row>
    <row r="14" spans="1:56" s="44" customFormat="1" x14ac:dyDescent="0.25">
      <c r="K14" s="36"/>
      <c r="L14" s="37"/>
    </row>
    <row r="15" spans="1:56" s="44" customFormat="1" ht="14.25" customHeight="1" x14ac:dyDescent="0.25">
      <c r="K15" s="36"/>
      <c r="L15" s="37"/>
    </row>
    <row r="16" spans="1:56" s="44" customFormat="1" ht="13.5" customHeight="1" x14ac:dyDescent="0.25">
      <c r="K16" s="36"/>
      <c r="L16" s="37"/>
    </row>
    <row r="17" spans="11:12" s="44" customFormat="1" x14ac:dyDescent="0.25">
      <c r="K17" s="36"/>
      <c r="L17" s="37"/>
    </row>
    <row r="18" spans="11:12" s="44" customFormat="1" x14ac:dyDescent="0.25">
      <c r="K18" s="36"/>
      <c r="L18" s="37"/>
    </row>
    <row r="19" spans="11:12" s="44" customFormat="1" x14ac:dyDescent="0.25">
      <c r="K19" s="36"/>
      <c r="L19" s="37"/>
    </row>
    <row r="20" spans="11:12" s="44" customFormat="1" x14ac:dyDescent="0.25">
      <c r="K20" s="36"/>
      <c r="L20" s="37"/>
    </row>
    <row r="21" spans="11:12" s="44" customFormat="1" ht="15.75" customHeight="1" x14ac:dyDescent="0.25">
      <c r="K21" s="36"/>
      <c r="L21" s="37"/>
    </row>
    <row r="22" spans="11:12" s="44" customFormat="1" ht="15.75" customHeight="1" x14ac:dyDescent="0.25">
      <c r="K22" s="36"/>
      <c r="L22" s="37"/>
    </row>
    <row r="23" spans="11:12" s="44" customFormat="1" x14ac:dyDescent="0.25">
      <c r="K23" s="36"/>
      <c r="L23" s="37"/>
    </row>
    <row r="24" spans="11:12" s="44" customFormat="1" x14ac:dyDescent="0.25">
      <c r="K24" s="36"/>
      <c r="L24" s="37"/>
    </row>
    <row r="25" spans="11:12" s="44" customFormat="1" ht="15.75" customHeight="1" x14ac:dyDescent="0.25">
      <c r="K25" s="36"/>
      <c r="L25" s="37"/>
    </row>
    <row r="26" spans="11:12" s="44" customFormat="1" x14ac:dyDescent="0.25">
      <c r="K26" s="36"/>
      <c r="L26" s="37"/>
    </row>
    <row r="27" spans="11:12" s="44" customFormat="1" ht="15.75" customHeight="1" x14ac:dyDescent="0.25">
      <c r="K27" s="36"/>
      <c r="L27" s="37"/>
    </row>
    <row r="28" spans="11:12" s="44" customFormat="1" ht="14.25" customHeight="1" x14ac:dyDescent="0.25">
      <c r="K28" s="36"/>
      <c r="L28" s="37"/>
    </row>
    <row r="29" spans="11:12" s="44" customFormat="1" x14ac:dyDescent="0.25">
      <c r="K29" s="36"/>
      <c r="L29" s="37"/>
    </row>
    <row r="30" spans="11:12" s="44" customFormat="1" ht="15" customHeight="1" x14ac:dyDescent="0.25">
      <c r="K30" s="36"/>
      <c r="L30" s="37"/>
    </row>
    <row r="31" spans="11:12" s="44" customFormat="1" x14ac:dyDescent="0.25">
      <c r="K31" s="36"/>
      <c r="L31" s="37"/>
    </row>
    <row r="32" spans="11:12" s="44" customFormat="1" x14ac:dyDescent="0.25">
      <c r="K32" s="36"/>
      <c r="L32" s="37"/>
    </row>
    <row r="33" spans="11:12" s="44" customFormat="1" ht="17.25" customHeight="1" x14ac:dyDescent="0.25">
      <c r="K33" s="36"/>
      <c r="L33" s="37"/>
    </row>
    <row r="34" spans="11:12" s="44" customFormat="1" ht="14.25" customHeight="1" x14ac:dyDescent="0.25">
      <c r="K34" s="36"/>
      <c r="L34" s="37"/>
    </row>
    <row r="35" spans="11:12" s="44" customFormat="1" ht="15.75" customHeight="1" x14ac:dyDescent="0.25">
      <c r="K35" s="36"/>
      <c r="L35" s="37"/>
    </row>
    <row r="36" spans="11:12" s="44" customFormat="1" ht="14.25" customHeight="1" x14ac:dyDescent="0.25">
      <c r="K36" s="36"/>
      <c r="L36" s="37"/>
    </row>
    <row r="37" spans="11:12" s="44" customFormat="1" x14ac:dyDescent="0.25">
      <c r="K37" s="36"/>
      <c r="L37" s="37"/>
    </row>
    <row r="38" spans="11:12" s="44" customFormat="1" ht="15" customHeight="1" x14ac:dyDescent="0.25">
      <c r="K38" s="36"/>
      <c r="L38" s="37"/>
    </row>
    <row r="39" spans="11:12" s="44" customFormat="1" ht="15" customHeight="1" x14ac:dyDescent="0.25">
      <c r="K39" s="36"/>
      <c r="L39" s="37"/>
    </row>
    <row r="40" spans="11:12" s="44" customFormat="1" x14ac:dyDescent="0.25">
      <c r="K40" s="36"/>
      <c r="L40" s="37"/>
    </row>
    <row r="41" spans="11:12" s="44" customFormat="1" ht="15" customHeight="1" x14ac:dyDescent="0.25">
      <c r="K41" s="36"/>
      <c r="L41" s="37"/>
    </row>
    <row r="42" spans="11:12" s="44" customFormat="1" x14ac:dyDescent="0.25">
      <c r="K42" s="36"/>
      <c r="L42" s="37"/>
    </row>
    <row r="43" spans="11:12" s="44" customFormat="1" x14ac:dyDescent="0.25">
      <c r="K43" s="36"/>
      <c r="L43" s="37"/>
    </row>
    <row r="44" spans="11:12" s="44" customFormat="1" x14ac:dyDescent="0.25">
      <c r="K44" s="36"/>
      <c r="L44" s="37"/>
    </row>
    <row r="45" spans="11:12" s="44" customFormat="1" x14ac:dyDescent="0.25">
      <c r="K45" s="36"/>
      <c r="L45" s="37"/>
    </row>
    <row r="46" spans="11:12" s="44" customFormat="1" x14ac:dyDescent="0.25">
      <c r="K46" s="36"/>
      <c r="L46" s="37"/>
    </row>
    <row r="47" spans="11:12" s="44" customFormat="1" ht="14.25" customHeight="1" x14ac:dyDescent="0.25">
      <c r="K47" s="36"/>
      <c r="L47" s="37"/>
    </row>
    <row r="48" spans="11:12" s="44" customFormat="1" x14ac:dyDescent="0.25">
      <c r="K48" s="36"/>
      <c r="L48" s="37"/>
    </row>
    <row r="49" spans="1:56" s="44" customFormat="1" x14ac:dyDescent="0.25">
      <c r="K49" s="36"/>
      <c r="L49" s="37"/>
    </row>
    <row r="50" spans="1:56" s="44" customFormat="1" ht="15" customHeight="1" x14ac:dyDescent="0.25">
      <c r="K50" s="36"/>
      <c r="L50" s="37"/>
    </row>
    <row r="51" spans="1:56" ht="15.75" customHeight="1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36"/>
      <c r="L51" s="37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</row>
    <row r="52" spans="1:56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36"/>
      <c r="L52" s="37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</row>
    <row r="53" spans="1:56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36"/>
      <c r="L53" s="37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</row>
    <row r="54" spans="1:56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36"/>
      <c r="L54" s="37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</row>
    <row r="55" spans="1:56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36"/>
      <c r="L55" s="37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</row>
    <row r="56" spans="1:56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36"/>
      <c r="L56" s="37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</row>
    <row r="57" spans="1:56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36"/>
      <c r="L57" s="37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</row>
    <row r="58" spans="1:56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36"/>
      <c r="L58" s="37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</row>
    <row r="59" spans="1:56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36"/>
      <c r="L59" s="37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</row>
    <row r="60" spans="1:56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36"/>
      <c r="L60" s="37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</row>
    <row r="61" spans="1:56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36"/>
      <c r="L61" s="37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</row>
    <row r="62" spans="1:56" ht="15.75" customHeight="1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36"/>
      <c r="L62" s="37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</row>
    <row r="63" spans="1:56" ht="15" customHeight="1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36"/>
      <c r="L63" s="37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</row>
    <row r="64" spans="1:56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36"/>
      <c r="L64" s="37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</row>
    <row r="65" spans="1:56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36"/>
      <c r="L65" s="37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</row>
    <row r="66" spans="1:56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36"/>
      <c r="L66" s="37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</row>
    <row r="67" spans="1:56" s="44" customFormat="1" ht="15" customHeight="1" x14ac:dyDescent="0.25">
      <c r="K67" s="36"/>
      <c r="L67" s="37"/>
    </row>
    <row r="68" spans="1:56" s="44" customForma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6"/>
      <c r="L68" s="47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  <c r="BA68" s="45"/>
      <c r="BB68" s="45"/>
      <c r="BC68" s="45"/>
      <c r="BD68" s="45"/>
    </row>
    <row r="69" spans="1:56" ht="14.25" customHeight="1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36"/>
      <c r="L69" s="37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</row>
    <row r="70" spans="1:56" ht="15.75" customHeight="1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36"/>
      <c r="L70" s="37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</row>
    <row r="71" spans="1:56" ht="15.75" customHeight="1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36"/>
      <c r="L71" s="37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</row>
    <row r="72" spans="1:56" ht="14.25" customHeight="1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36"/>
      <c r="L72" s="37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</row>
    <row r="73" spans="1:56" ht="15" customHeight="1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36"/>
      <c r="L73" s="37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9" priority="12" stopIfTrue="1"/>
  </conditionalFormatting>
  <conditionalFormatting sqref="Z1:Z2">
    <cfRule type="duplicateValues" dxfId="28" priority="11" stopIfTrue="1"/>
  </conditionalFormatting>
  <conditionalFormatting sqref="F1:F5 F9:F1048576">
    <cfRule type="duplicateValues" dxfId="27" priority="10"/>
  </conditionalFormatting>
  <conditionalFormatting sqref="F6:F8">
    <cfRule type="duplicateValues" dxfId="26" priority="9"/>
  </conditionalFormatting>
  <conditionalFormatting sqref="Z1:Z1048576">
    <cfRule type="duplicateValues" dxfId="25" priority="8"/>
  </conditionalFormatting>
  <conditionalFormatting sqref="AE1:AE1048576">
    <cfRule type="duplicateValues" dxfId="24" priority="1"/>
    <cfRule type="duplicateValues" dxfId="23" priority="3"/>
    <cfRule type="duplicateValues" dxfId="22" priority="4"/>
    <cfRule type="duplicateValues" dxfId="21" priority="7"/>
  </conditionalFormatting>
  <conditionalFormatting sqref="Y1:Y1048576">
    <cfRule type="duplicateValues" dxfId="20" priority="2"/>
    <cfRule type="duplicateValues" dxfId="19" priority="6"/>
  </conditionalFormatting>
  <conditionalFormatting sqref="F1:F1048576">
    <cfRule type="duplicateValues" dxfId="18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zoomScaleNormal="100" workbookViewId="0">
      <selection activeCell="B23" sqref="B23"/>
    </sheetView>
  </sheetViews>
  <sheetFormatPr baseColWidth="10" defaultRowHeight="15" x14ac:dyDescent="0.2"/>
  <cols>
    <col min="1" max="1" width="7.42578125" style="52" customWidth="1"/>
    <col min="2" max="2" width="32.28515625" style="52" bestFit="1" customWidth="1"/>
    <col min="3" max="3" width="27.5703125" style="52" bestFit="1" customWidth="1"/>
    <col min="4" max="4" width="8.42578125" style="52" bestFit="1" customWidth="1"/>
    <col min="5" max="5" width="7.7109375" style="52" bestFit="1" customWidth="1"/>
    <col min="6" max="6" width="14.140625" style="52" bestFit="1" customWidth="1"/>
    <col min="7" max="7" width="63.28515625" style="52" bestFit="1" customWidth="1"/>
    <col min="8" max="9" width="11.42578125" style="52" customWidth="1"/>
    <col min="10" max="10" width="5.140625" style="52" bestFit="1" customWidth="1"/>
    <col min="11" max="11" width="55.85546875" style="52" bestFit="1" customWidth="1"/>
    <col min="12" max="12" width="45.85546875" style="52" bestFit="1" customWidth="1"/>
    <col min="13" max="16384" width="11.42578125" style="52"/>
  </cols>
  <sheetData>
    <row r="1" spans="1:16" x14ac:dyDescent="0.2">
      <c r="A1" s="63" t="s">
        <v>17</v>
      </c>
      <c r="B1" s="63" t="s">
        <v>15</v>
      </c>
      <c r="C1" s="63" t="s">
        <v>19</v>
      </c>
      <c r="D1" s="63" t="s">
        <v>16</v>
      </c>
      <c r="E1" s="63" t="s">
        <v>20</v>
      </c>
      <c r="F1" s="63" t="s">
        <v>24</v>
      </c>
      <c r="G1" s="63" t="s">
        <v>104</v>
      </c>
      <c r="J1" s="63" t="s">
        <v>17</v>
      </c>
      <c r="K1" s="63" t="s">
        <v>15</v>
      </c>
      <c r="L1" s="63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49" t="str">
        <f t="shared" ref="G2:G66" si="0">((B2&amp;" "&amp;C2)&amp;" "&amp;D2)&amp;" "&amp;E2</f>
        <v>1 MAPLE ST NEW YORK HILLS NY 10080</v>
      </c>
      <c r="J2" s="66">
        <v>1</v>
      </c>
      <c r="K2" s="50" t="s">
        <v>284</v>
      </c>
      <c r="L2" s="50" t="s">
        <v>276</v>
      </c>
      <c r="N2" s="64"/>
      <c r="O2" s="64"/>
      <c r="P2" s="64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66">
        <v>2</v>
      </c>
      <c r="K3" s="50" t="s">
        <v>204</v>
      </c>
      <c r="L3" s="50" t="s">
        <v>271</v>
      </c>
      <c r="N3" s="64"/>
      <c r="O3" s="64"/>
      <c r="P3" s="64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66">
        <v>3</v>
      </c>
      <c r="K4" s="50" t="s">
        <v>268</v>
      </c>
      <c r="L4" s="50" t="s">
        <v>275</v>
      </c>
      <c r="N4" s="64"/>
      <c r="O4" s="64"/>
      <c r="P4" s="64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49">
        <v>2404709080</v>
      </c>
      <c r="G5" s="50" t="str">
        <f t="shared" si="0"/>
        <v>104 GROVE ST MOUNTKISCO NY 10549</v>
      </c>
      <c r="J5" s="66">
        <v>4</v>
      </c>
      <c r="K5" s="50" t="s">
        <v>127</v>
      </c>
      <c r="L5" s="50" t="s">
        <v>269</v>
      </c>
      <c r="N5" s="64"/>
      <c r="O5" s="64"/>
      <c r="P5" s="64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49">
        <v>3013797841</v>
      </c>
      <c r="G6" s="50" t="str">
        <f t="shared" si="0"/>
        <v>106 SPRING ST MOUNTKISCO NY 10549</v>
      </c>
      <c r="J6" s="66">
        <v>5</v>
      </c>
      <c r="K6" s="50" t="s">
        <v>257</v>
      </c>
      <c r="L6" s="50" t="s">
        <v>274</v>
      </c>
      <c r="N6" s="64"/>
      <c r="O6" s="64"/>
      <c r="P6" s="64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49">
        <v>2406089318</v>
      </c>
      <c r="G7" s="50" t="str">
        <f t="shared" si="0"/>
        <v>107 ORCHARD RD MOUNTKISCO NY 10549</v>
      </c>
      <c r="J7" s="66">
        <v>6</v>
      </c>
      <c r="K7" s="50" t="s">
        <v>169</v>
      </c>
      <c r="L7" s="50" t="s">
        <v>163</v>
      </c>
      <c r="N7" s="64"/>
      <c r="O7" s="64"/>
      <c r="P7" s="64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49">
        <v>2407655396</v>
      </c>
      <c r="G8" s="50" t="str">
        <f t="shared" si="0"/>
        <v>12 BOLTIS ST MOUNTKISCO NY 10549</v>
      </c>
      <c r="J8" s="66">
        <v>7</v>
      </c>
      <c r="K8" s="50" t="s">
        <v>157</v>
      </c>
      <c r="L8" s="50" t="s">
        <v>270</v>
      </c>
      <c r="N8" s="64"/>
      <c r="O8" s="64"/>
      <c r="P8" s="64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49">
        <v>2405213891</v>
      </c>
      <c r="G9" s="50" t="str">
        <f t="shared" si="0"/>
        <v>120 WOOD RIDGE RD MOUNTKISCO NY 10549</v>
      </c>
      <c r="J9" s="66">
        <v>8</v>
      </c>
      <c r="K9" s="50" t="s">
        <v>119</v>
      </c>
      <c r="L9" s="50" t="s">
        <v>269</v>
      </c>
      <c r="N9" s="64"/>
      <c r="O9" s="64"/>
      <c r="P9" s="64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49">
        <v>2406027519</v>
      </c>
      <c r="G10" s="50" t="str">
        <f t="shared" si="0"/>
        <v>131 MAPLE AVE MOUNTKISCO NY 10509</v>
      </c>
      <c r="J10" s="66">
        <v>9</v>
      </c>
      <c r="K10" s="50" t="s">
        <v>224</v>
      </c>
      <c r="L10" s="50" t="s">
        <v>272</v>
      </c>
      <c r="N10" s="64"/>
      <c r="O10" s="64"/>
      <c r="P10" s="64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49">
        <v>3104972115</v>
      </c>
      <c r="G11" s="50" t="str">
        <f t="shared" si="0"/>
        <v>14 TALLMAN LN BREWSTER NY 10509</v>
      </c>
      <c r="J11" s="66">
        <v>10</v>
      </c>
      <c r="K11" s="50" t="s">
        <v>235</v>
      </c>
      <c r="L11" s="50" t="s">
        <v>273</v>
      </c>
      <c r="N11" s="64"/>
      <c r="O11" s="64"/>
      <c r="P11" s="64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49">
        <v>2402413074</v>
      </c>
      <c r="G12" s="50" t="str">
        <f t="shared" si="0"/>
        <v>144 HONEY RD POUND ROAD NY 10576</v>
      </c>
      <c r="J12" s="66">
        <v>11</v>
      </c>
      <c r="K12" s="50" t="s">
        <v>168</v>
      </c>
      <c r="L12" s="50" t="s">
        <v>163</v>
      </c>
      <c r="N12" s="64"/>
      <c r="O12" s="64"/>
      <c r="P12" s="64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49">
        <v>8456999334</v>
      </c>
      <c r="G13" s="50" t="str">
        <f t="shared" si="0"/>
        <v>15 HAMMOND RIDGE RD BEDFORD CORNERS NY 10549</v>
      </c>
      <c r="J13" s="66">
        <v>12</v>
      </c>
      <c r="K13" s="50" t="s">
        <v>216</v>
      </c>
      <c r="L13" s="50" t="s">
        <v>272</v>
      </c>
      <c r="N13" s="64"/>
      <c r="O13" s="64"/>
      <c r="P13" s="64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49">
        <v>2402742065</v>
      </c>
      <c r="G14" s="50" t="str">
        <f t="shared" si="0"/>
        <v>18 HOLLOW RIDGE RD BEDFORD CORNERS NY 10549</v>
      </c>
      <c r="J14" s="66">
        <v>13</v>
      </c>
      <c r="K14" s="50" t="s">
        <v>198</v>
      </c>
      <c r="L14" s="50" t="s">
        <v>271</v>
      </c>
      <c r="N14" s="64"/>
      <c r="O14" s="64"/>
      <c r="P14" s="64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49">
        <v>2403830217</v>
      </c>
      <c r="G15" s="50" t="str">
        <f t="shared" si="0"/>
        <v>16 GUARD HILL RD BEDFORD CORNERS NY 10549</v>
      </c>
      <c r="J15" s="66">
        <v>14</v>
      </c>
      <c r="K15" s="50" t="s">
        <v>197</v>
      </c>
      <c r="L15" s="50" t="s">
        <v>271</v>
      </c>
      <c r="N15" s="64"/>
      <c r="O15" s="64"/>
      <c r="P15" s="64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49">
        <v>3019963420</v>
      </c>
      <c r="G16" s="50" t="str">
        <f t="shared" si="0"/>
        <v>160 E MAIN ST  MOUNTKISCO NY 10549</v>
      </c>
      <c r="J16" s="66">
        <v>15</v>
      </c>
      <c r="K16" s="50" t="s">
        <v>153</v>
      </c>
      <c r="L16" s="50" t="s">
        <v>270</v>
      </c>
      <c r="N16" s="64"/>
      <c r="O16" s="64"/>
      <c r="P16" s="64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49">
        <v>9143003609</v>
      </c>
      <c r="G17" s="50" t="str">
        <f t="shared" si="0"/>
        <v>165 E MAIN ST MOUNTKISCO NY 10549</v>
      </c>
      <c r="J17" s="66">
        <v>16</v>
      </c>
      <c r="K17" s="50" t="s">
        <v>299</v>
      </c>
      <c r="L17" s="50" t="s">
        <v>271</v>
      </c>
      <c r="N17" s="64"/>
      <c r="O17" s="64"/>
      <c r="P17" s="64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49">
        <v>7147294870</v>
      </c>
      <c r="G18" s="50" t="str">
        <f t="shared" si="0"/>
        <v>17 HILLS SIDE AVE MOUNTKISCO NY 10509</v>
      </c>
      <c r="J18" s="66">
        <v>17</v>
      </c>
      <c r="K18" s="50" t="s">
        <v>226</v>
      </c>
      <c r="L18" s="50" t="s">
        <v>272</v>
      </c>
      <c r="N18" s="64"/>
      <c r="O18" s="64"/>
      <c r="P18" s="64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49">
        <v>8456648683</v>
      </c>
      <c r="G19" s="50" t="str">
        <f t="shared" si="0"/>
        <v>170 GROVE ST MOUNTKISCO NY 10509</v>
      </c>
      <c r="J19" s="66">
        <v>18</v>
      </c>
      <c r="K19" s="50" t="s">
        <v>141</v>
      </c>
      <c r="L19" s="50" t="s">
        <v>270</v>
      </c>
      <c r="N19" s="64"/>
      <c r="O19" s="64"/>
      <c r="P19" s="64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49">
        <v>9142994360</v>
      </c>
      <c r="G20" s="50" t="str">
        <f t="shared" si="0"/>
        <v>173 LEXINGTON AVE MOUNTKISCO NY 10549</v>
      </c>
      <c r="J20" s="66">
        <v>19</v>
      </c>
      <c r="K20" s="50" t="s">
        <v>225</v>
      </c>
      <c r="L20" s="50" t="s">
        <v>272</v>
      </c>
      <c r="N20" s="64"/>
      <c r="O20" s="64"/>
      <c r="P20" s="64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49">
        <v>9142998989</v>
      </c>
      <c r="G21" s="50" t="str">
        <f t="shared" si="0"/>
        <v>18 PARK DR MOUNTKISCO NY 10549</v>
      </c>
      <c r="J21" s="66">
        <v>20</v>
      </c>
      <c r="K21" s="50" t="s">
        <v>205</v>
      </c>
      <c r="L21" s="50" t="s">
        <v>271</v>
      </c>
      <c r="N21" s="64"/>
      <c r="O21" s="64"/>
      <c r="P21" s="64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49">
        <v>9144479275</v>
      </c>
      <c r="G22" s="50" t="str">
        <f t="shared" si="0"/>
        <v>19 EAST MAIN ST MOUNTKISCO NY 10549</v>
      </c>
      <c r="J22" s="66">
        <v>21</v>
      </c>
      <c r="K22" s="50" t="s">
        <v>150</v>
      </c>
      <c r="L22" s="50" t="s">
        <v>270</v>
      </c>
      <c r="N22" s="64"/>
      <c r="O22" s="64"/>
      <c r="P22" s="64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49">
        <v>9144710215</v>
      </c>
      <c r="G23" s="50" t="str">
        <f t="shared" si="0"/>
        <v>190 BARBIT RD BEDFORD HILLS NY 10507</v>
      </c>
      <c r="J23" s="66">
        <v>22</v>
      </c>
      <c r="K23" s="50" t="s">
        <v>138</v>
      </c>
      <c r="L23" s="50" t="s">
        <v>270</v>
      </c>
      <c r="N23" s="64"/>
      <c r="O23" s="64"/>
      <c r="P23" s="64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49">
        <v>9144836220</v>
      </c>
      <c r="G24" s="50" t="str">
        <f t="shared" si="0"/>
        <v>1902 REGRET DR MOUNTKISCO NY 10549</v>
      </c>
      <c r="J24" s="66">
        <v>23</v>
      </c>
      <c r="K24" s="50" t="s">
        <v>260</v>
      </c>
      <c r="L24" s="50" t="s">
        <v>275</v>
      </c>
      <c r="N24" s="64"/>
      <c r="O24" s="64"/>
      <c r="P24" s="64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49">
        <v>3479692750</v>
      </c>
      <c r="G25" s="50" t="str">
        <f t="shared" si="0"/>
        <v>20 CAMPENTER AVE MOUNTKISCO NY 10509</v>
      </c>
      <c r="J25" s="66">
        <v>24</v>
      </c>
      <c r="K25" s="50" t="s">
        <v>208</v>
      </c>
      <c r="L25" s="50" t="s">
        <v>271</v>
      </c>
      <c r="N25" s="64"/>
      <c r="O25" s="64"/>
      <c r="P25" s="64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49">
        <v>2407576501</v>
      </c>
      <c r="G26" s="50" t="str">
        <f t="shared" si="0"/>
        <v>28 E HOLLOW RD BREWSTER NY 10509</v>
      </c>
      <c r="J26" s="66">
        <v>25</v>
      </c>
      <c r="K26" s="50" t="s">
        <v>183</v>
      </c>
      <c r="L26" s="50" t="s">
        <v>113</v>
      </c>
      <c r="N26" s="64"/>
      <c r="O26" s="64"/>
      <c r="P26" s="64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49">
        <v>5163842650</v>
      </c>
      <c r="G27" s="50" t="str">
        <f t="shared" si="0"/>
        <v>26 LITTLE PINE RD MOUNTKISCO NY 10549</v>
      </c>
      <c r="J27" s="66">
        <v>26</v>
      </c>
      <c r="K27" s="50" t="s">
        <v>122</v>
      </c>
      <c r="L27" s="50" t="s">
        <v>269</v>
      </c>
      <c r="N27" s="64"/>
      <c r="O27" s="64"/>
      <c r="P27" s="64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49">
        <v>3017600698</v>
      </c>
      <c r="G28" s="50" t="str">
        <f t="shared" si="0"/>
        <v>20 SUNDERLAND LN KATONAH NY 10536</v>
      </c>
      <c r="J28" s="66">
        <v>27</v>
      </c>
      <c r="K28" s="50" t="s">
        <v>184</v>
      </c>
      <c r="L28" s="50" t="s">
        <v>113</v>
      </c>
      <c r="N28" s="64"/>
      <c r="O28" s="64"/>
      <c r="P28" s="64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49">
        <v>2402165201</v>
      </c>
      <c r="G29" s="50" t="str">
        <f t="shared" si="0"/>
        <v>200 DIPLOMAT DR MOUNTKISCO NY 10549</v>
      </c>
      <c r="J29" s="66">
        <v>28</v>
      </c>
      <c r="K29" s="50" t="s">
        <v>277</v>
      </c>
      <c r="L29" s="50" t="s">
        <v>276</v>
      </c>
      <c r="N29" s="64"/>
      <c r="O29" s="64"/>
      <c r="P29" s="64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49">
        <v>3013460479</v>
      </c>
      <c r="G30" s="50" t="str">
        <f t="shared" si="0"/>
        <v>223 STARR RIDGE BREWSTER NY 10509</v>
      </c>
      <c r="J30" s="66">
        <v>29</v>
      </c>
      <c r="K30" s="50" t="s">
        <v>140</v>
      </c>
      <c r="L30" s="50" t="s">
        <v>270</v>
      </c>
      <c r="N30" s="64"/>
      <c r="O30" s="64"/>
      <c r="P30" s="64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49">
        <v>2407580208</v>
      </c>
      <c r="G31" s="50" t="str">
        <f t="shared" si="0"/>
        <v>225 CANTITOE ST KATONAH NY 10536</v>
      </c>
      <c r="J31" s="66">
        <v>30</v>
      </c>
      <c r="K31" s="50" t="s">
        <v>148</v>
      </c>
      <c r="L31" s="50" t="s">
        <v>270</v>
      </c>
      <c r="N31" s="64"/>
      <c r="O31" s="64"/>
      <c r="P31" s="64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49">
        <v>9144478268</v>
      </c>
      <c r="G32" s="50" t="str">
        <f t="shared" si="0"/>
        <v>228 SALMONS HOLLOW DR BREWSTER NY 10509</v>
      </c>
      <c r="J32" s="66">
        <v>31</v>
      </c>
      <c r="K32" s="50" t="s">
        <v>156</v>
      </c>
      <c r="L32" s="50" t="s">
        <v>270</v>
      </c>
      <c r="N32" s="64"/>
      <c r="O32" s="64"/>
      <c r="P32" s="64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49">
        <v>9146558926</v>
      </c>
      <c r="G33" s="50" t="str">
        <f t="shared" si="0"/>
        <v>23 RUTLAND ST MOUNTKISCO NY 10549</v>
      </c>
      <c r="J33" s="66">
        <v>32</v>
      </c>
      <c r="K33" s="50" t="s">
        <v>137</v>
      </c>
      <c r="L33" s="50" t="s">
        <v>269</v>
      </c>
      <c r="N33" s="64"/>
      <c r="O33" s="64"/>
      <c r="P33" s="64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49">
        <v>9144656335</v>
      </c>
      <c r="G34" s="50" t="str">
        <f t="shared" si="0"/>
        <v>237 E MAIN ST MOUNTKISCO NY 10549</v>
      </c>
      <c r="J34" s="66">
        <v>33</v>
      </c>
      <c r="K34" s="50" t="s">
        <v>115</v>
      </c>
      <c r="L34" s="50" t="s">
        <v>269</v>
      </c>
      <c r="N34" s="64"/>
      <c r="O34" s="64"/>
      <c r="P34" s="64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49">
        <v>3016586606</v>
      </c>
      <c r="G35" s="50" t="str">
        <f t="shared" si="0"/>
        <v>24 PINES LN CHAPQUA NY 10514</v>
      </c>
      <c r="J35" s="66">
        <v>34</v>
      </c>
      <c r="K35" s="50" t="s">
        <v>291</v>
      </c>
      <c r="L35" s="50" t="s">
        <v>286</v>
      </c>
      <c r="N35" s="64"/>
      <c r="O35" s="64"/>
      <c r="P35" s="64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49">
        <v>3015658058</v>
      </c>
      <c r="G36" s="50" t="str">
        <f t="shared" si="0"/>
        <v>244 WEST ST MOUNTKISCO NY 10549</v>
      </c>
      <c r="J36" s="66">
        <v>35</v>
      </c>
      <c r="K36" s="50" t="s">
        <v>215</v>
      </c>
      <c r="L36" s="50" t="s">
        <v>272</v>
      </c>
      <c r="N36" s="64"/>
      <c r="O36" s="64"/>
      <c r="P36" s="64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49">
        <v>3105656822</v>
      </c>
      <c r="G37" s="50" t="str">
        <f t="shared" si="0"/>
        <v>250 VESEY ST NEW YORK HILLS NY 10080</v>
      </c>
      <c r="J37" s="66">
        <v>36</v>
      </c>
      <c r="K37" s="50" t="s">
        <v>255</v>
      </c>
      <c r="L37" s="50" t="s">
        <v>274</v>
      </c>
      <c r="N37" s="64"/>
      <c r="O37" s="64"/>
      <c r="P37" s="64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49">
        <v>9145606889</v>
      </c>
      <c r="G38" s="50" t="str">
        <f t="shared" si="0"/>
        <v>273 STARR RIDGE BREWSTER NY 10509</v>
      </c>
      <c r="J38" s="66">
        <v>37</v>
      </c>
      <c r="K38" s="50" t="s">
        <v>125</v>
      </c>
      <c r="L38" s="50" t="s">
        <v>269</v>
      </c>
      <c r="N38" s="64"/>
      <c r="O38" s="64"/>
      <c r="P38" s="64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49">
        <v>3010565666</v>
      </c>
      <c r="G39" s="50" t="str">
        <f t="shared" si="0"/>
        <v>28 BARKER ST MOUNTKISCO NY 10549</v>
      </c>
      <c r="J39" s="67">
        <v>38</v>
      </c>
      <c r="K39" s="50" t="s">
        <v>130</v>
      </c>
      <c r="L39" s="50" t="s">
        <v>269</v>
      </c>
      <c r="N39" s="64"/>
      <c r="O39" s="64"/>
      <c r="P39" s="64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49">
        <v>3104564682</v>
      </c>
      <c r="G40" s="50" t="str">
        <f t="shared" si="0"/>
        <v>28 W 27TH ST NEW YORK NY 10009</v>
      </c>
      <c r="J40" s="67">
        <v>39</v>
      </c>
      <c r="K40" s="50" t="s">
        <v>304</v>
      </c>
      <c r="L40" s="50" t="s">
        <v>269</v>
      </c>
      <c r="N40" s="64"/>
      <c r="O40" s="64"/>
      <c r="P40" s="64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49">
        <v>7145650650</v>
      </c>
      <c r="G41" s="50" t="str">
        <f t="shared" si="0"/>
        <v>5 HERELD  NEW YORK NY 10001</v>
      </c>
      <c r="J41" s="67">
        <v>40</v>
      </c>
      <c r="K41" s="50" t="s">
        <v>203</v>
      </c>
      <c r="L41" s="50" t="s">
        <v>271</v>
      </c>
      <c r="N41" s="64"/>
      <c r="O41" s="64"/>
      <c r="P41" s="64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49">
        <v>7144555665</v>
      </c>
      <c r="G42" s="50" t="str">
        <f t="shared" si="0"/>
        <v>3006 VICTORIA DR MOUNTKISCO NY 10549</v>
      </c>
      <c r="J42" s="67">
        <v>41</v>
      </c>
      <c r="K42" s="50" t="s">
        <v>126</v>
      </c>
      <c r="L42" s="50" t="s">
        <v>269</v>
      </c>
      <c r="N42" s="64"/>
      <c r="O42" s="64"/>
      <c r="P42" s="64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49">
        <v>5165650855</v>
      </c>
      <c r="G43" s="50" t="str">
        <f t="shared" si="0"/>
        <v>32 FOX WOOD CIR MOUNTKISCO NY 10549</v>
      </c>
      <c r="J43" s="67">
        <v>42</v>
      </c>
      <c r="K43" s="50" t="s">
        <v>200</v>
      </c>
      <c r="L43" s="50" t="s">
        <v>271</v>
      </c>
      <c r="N43" s="64"/>
      <c r="O43" s="64"/>
      <c r="P43" s="64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49">
        <v>5166564162</v>
      </c>
      <c r="G44" s="50" t="str">
        <f t="shared" si="0"/>
        <v>328 LEXINGTON AVE MOUNTKISCO NY 10549</v>
      </c>
      <c r="J44" s="67">
        <v>43</v>
      </c>
      <c r="K44" s="50" t="s">
        <v>217</v>
      </c>
      <c r="L44" s="50" t="s">
        <v>272</v>
      </c>
      <c r="N44" s="64"/>
      <c r="O44" s="64"/>
      <c r="P44" s="64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49">
        <v>8451654158</v>
      </c>
      <c r="G45" s="50" t="str">
        <f t="shared" si="0"/>
        <v>330 ARMOUNT RD MOUNTKISCO NY 10549</v>
      </c>
      <c r="J45" s="67">
        <v>44</v>
      </c>
      <c r="K45" s="50" t="s">
        <v>114</v>
      </c>
      <c r="L45" s="50" t="s">
        <v>269</v>
      </c>
      <c r="N45" s="64"/>
      <c r="O45" s="64"/>
      <c r="P45" s="64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49">
        <v>2406462226</v>
      </c>
      <c r="G46" s="50" t="str">
        <f t="shared" si="0"/>
        <v>3804 VICTORIA DR MOUNTKISCO NY 10549</v>
      </c>
      <c r="J46" s="67">
        <v>45</v>
      </c>
      <c r="K46" s="50" t="s">
        <v>307</v>
      </c>
      <c r="L46" s="50" t="s">
        <v>269</v>
      </c>
      <c r="N46" s="64"/>
      <c r="O46" s="64"/>
      <c r="P46" s="64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49">
        <v>2404605644</v>
      </c>
      <c r="G47" s="50" t="str">
        <f t="shared" si="0"/>
        <v>39 ROME AVE BEDFORD HILLS NY 10507</v>
      </c>
      <c r="J47" s="67">
        <v>46</v>
      </c>
      <c r="K47" s="50" t="s">
        <v>248</v>
      </c>
      <c r="L47" s="50" t="s">
        <v>274</v>
      </c>
      <c r="N47" s="64"/>
      <c r="O47" s="64"/>
      <c r="P47" s="64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49">
        <v>2406650564</v>
      </c>
      <c r="G48" s="50" t="str">
        <f t="shared" si="0"/>
        <v>4 WORLD FINANCIAL CN NEW YORK NY 10080</v>
      </c>
      <c r="J48" s="67">
        <v>47</v>
      </c>
      <c r="K48" s="50" t="s">
        <v>251</v>
      </c>
      <c r="L48" s="50" t="s">
        <v>274</v>
      </c>
      <c r="N48" s="64"/>
      <c r="O48" s="64"/>
      <c r="P48" s="64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49">
        <v>8454633542</v>
      </c>
      <c r="G49" s="50" t="str">
        <f t="shared" si="0"/>
        <v>435 LEXINGTON AVE MOUNTKISCO NY 10549</v>
      </c>
      <c r="J49" s="67">
        <v>48</v>
      </c>
      <c r="K49" s="50" t="s">
        <v>262</v>
      </c>
      <c r="L49" s="50" t="s">
        <v>275</v>
      </c>
      <c r="N49" s="64"/>
      <c r="O49" s="64"/>
      <c r="P49" s="64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49">
        <v>7144646220</v>
      </c>
      <c r="G50" s="50" t="str">
        <f t="shared" si="0"/>
        <v>5 LAKESIDE RD MOUNTKISCO NY 10549</v>
      </c>
      <c r="J50" s="67">
        <v>49</v>
      </c>
      <c r="K50" s="50" t="s">
        <v>176</v>
      </c>
      <c r="L50" s="50" t="s">
        <v>163</v>
      </c>
      <c r="N50" s="64"/>
      <c r="O50" s="64"/>
      <c r="P50" s="64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49">
        <v>7144654215</v>
      </c>
      <c r="G51" s="50" t="str">
        <f t="shared" si="0"/>
        <v>5 MILAN AVE BEDFORD HILLS NY 10509</v>
      </c>
      <c r="J51" s="67">
        <v>50</v>
      </c>
      <c r="K51" s="50" t="s">
        <v>311</v>
      </c>
      <c r="L51" s="50" t="s">
        <v>269</v>
      </c>
      <c r="N51" s="64"/>
      <c r="O51" s="64"/>
      <c r="P51" s="64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49">
        <v>2405605632</v>
      </c>
      <c r="G52" s="50" t="str">
        <f t="shared" si="0"/>
        <v>50 BARKER ST MOUNTKISCO NY 10549</v>
      </c>
      <c r="J52" s="67">
        <v>51</v>
      </c>
      <c r="K52" s="50" t="s">
        <v>201</v>
      </c>
      <c r="L52" s="50" t="s">
        <v>271</v>
      </c>
      <c r="N52" s="64"/>
      <c r="O52" s="64"/>
      <c r="P52" s="64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49">
        <v>2405605625</v>
      </c>
      <c r="G53" s="50" t="str">
        <f t="shared" si="0"/>
        <v>57 SPRING ST MOUNTKISCO NY 10549</v>
      </c>
      <c r="J53" s="67">
        <v>52</v>
      </c>
      <c r="K53" s="50" t="s">
        <v>306</v>
      </c>
      <c r="L53" s="50" t="s">
        <v>269</v>
      </c>
      <c r="N53" s="64"/>
      <c r="O53" s="64"/>
      <c r="P53" s="64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49">
        <v>2406560515</v>
      </c>
      <c r="G54" s="50" t="str">
        <f t="shared" si="0"/>
        <v>59 FOX WOOD MOUNTKISCO NY 10549</v>
      </c>
      <c r="J54" s="67">
        <v>53</v>
      </c>
      <c r="K54" s="50" t="s">
        <v>161</v>
      </c>
      <c r="L54" s="50" t="s">
        <v>270</v>
      </c>
      <c r="N54" s="64"/>
      <c r="O54" s="64"/>
      <c r="P54" s="64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49">
        <v>7146060256</v>
      </c>
      <c r="G55" s="50" t="str">
        <f t="shared" si="0"/>
        <v>6 CYNTHIA ST BEDFORD CORNERS NY 10549</v>
      </c>
      <c r="J55" s="67">
        <v>54</v>
      </c>
      <c r="K55" s="50" t="s">
        <v>211</v>
      </c>
      <c r="L55" s="50" t="s">
        <v>271</v>
      </c>
      <c r="N55" s="64"/>
      <c r="O55" s="64"/>
      <c r="P55" s="64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49">
        <v>3015605625</v>
      </c>
      <c r="G56" s="50" t="str">
        <f t="shared" si="0"/>
        <v>61 N GREELEY AVE CHPPQUA NY 10514</v>
      </c>
      <c r="J56" s="67">
        <v>55</v>
      </c>
      <c r="K56" s="50" t="s">
        <v>193</v>
      </c>
      <c r="L56" s="50" t="s">
        <v>113</v>
      </c>
      <c r="N56" s="64"/>
      <c r="O56" s="64"/>
      <c r="P56" s="64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49">
        <v>3016466626</v>
      </c>
      <c r="G57" s="50" t="str">
        <f t="shared" si="0"/>
        <v>7 W HOLLOW RD BREWSTER NY 10509</v>
      </c>
      <c r="J57" s="67">
        <v>56</v>
      </c>
      <c r="K57" s="50" t="s">
        <v>296</v>
      </c>
      <c r="L57" s="50" t="s">
        <v>286</v>
      </c>
      <c r="N57" s="64"/>
      <c r="O57" s="64"/>
      <c r="P57" s="64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49">
        <v>3016666232</v>
      </c>
      <c r="G58" s="50" t="str">
        <f t="shared" si="0"/>
        <v>70 BARKERT ST MOUNTKISCO NY 10549</v>
      </c>
      <c r="J58" s="67">
        <v>57</v>
      </c>
      <c r="K58" s="50" t="s">
        <v>243</v>
      </c>
      <c r="L58" s="50" t="s">
        <v>273</v>
      </c>
      <c r="N58" s="64"/>
      <c r="O58" s="64"/>
      <c r="P58" s="64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49">
        <v>3105667895</v>
      </c>
      <c r="G59" s="50" t="str">
        <f t="shared" si="0"/>
        <v>72 BOLTIS ST MOUNTKISCO NY 10549</v>
      </c>
      <c r="J59" s="67">
        <v>58</v>
      </c>
      <c r="K59" s="50" t="s">
        <v>180</v>
      </c>
      <c r="L59" s="50" t="s">
        <v>276</v>
      </c>
      <c r="N59" s="64"/>
      <c r="O59" s="64"/>
      <c r="P59" s="64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49">
        <v>3101662311</v>
      </c>
      <c r="G60" s="50" t="str">
        <f t="shared" si="0"/>
        <v>78 MAIN ST BREWSTER NY 10507</v>
      </c>
      <c r="J60" s="67">
        <v>59</v>
      </c>
      <c r="K60" s="50" t="s">
        <v>281</v>
      </c>
      <c r="L60" s="50" t="s">
        <v>276</v>
      </c>
      <c r="N60" s="64"/>
      <c r="O60" s="64"/>
      <c r="P60" s="64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49">
        <v>5160463268</v>
      </c>
      <c r="G61" s="50" t="str">
        <f t="shared" si="0"/>
        <v>74 MAPLE AVE MOUNTKISCO NY 10509</v>
      </c>
      <c r="J61" s="67">
        <v>60</v>
      </c>
      <c r="K61" s="50" t="s">
        <v>259</v>
      </c>
      <c r="L61" s="50" t="s">
        <v>275</v>
      </c>
      <c r="N61" s="64"/>
      <c r="O61" s="64"/>
      <c r="P61" s="64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49">
        <v>5160603328</v>
      </c>
      <c r="G62" s="50" t="str">
        <f t="shared" si="0"/>
        <v>75 TRIPP ST MOUNTKISCO NY 10549</v>
      </c>
      <c r="J62" s="67">
        <v>61</v>
      </c>
      <c r="K62" s="50" t="s">
        <v>214</v>
      </c>
      <c r="L62" s="50" t="s">
        <v>272</v>
      </c>
      <c r="N62" s="64"/>
      <c r="O62" s="64"/>
      <c r="P62" s="64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49">
        <v>5162038959</v>
      </c>
      <c r="G63" s="50" t="str">
        <f t="shared" si="0"/>
        <v>83 OAK ST BREWSTER NY 10509</v>
      </c>
      <c r="J63" s="67">
        <v>62</v>
      </c>
      <c r="K63" s="50" t="s">
        <v>266</v>
      </c>
      <c r="L63" s="50" t="s">
        <v>275</v>
      </c>
      <c r="N63" s="64"/>
      <c r="O63" s="64"/>
      <c r="P63" s="64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49">
        <v>7144606528</v>
      </c>
      <c r="G64" s="50" t="str">
        <f t="shared" si="0"/>
        <v>85 CROTON AVE MOUNTKISCO NY 10549</v>
      </c>
      <c r="J64" s="67">
        <v>63</v>
      </c>
      <c r="K64" s="50" t="s">
        <v>172</v>
      </c>
      <c r="L64" s="50" t="s">
        <v>163</v>
      </c>
      <c r="N64" s="64"/>
      <c r="O64" s="64"/>
      <c r="P64" s="64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49">
        <v>8454606212</v>
      </c>
      <c r="G65" s="50" t="str">
        <f t="shared" si="0"/>
        <v>88 LEXINGTON AVE MOUNTKISCO NY 10549</v>
      </c>
      <c r="J65" s="68">
        <v>64</v>
      </c>
      <c r="K65" s="50" t="s">
        <v>313</v>
      </c>
      <c r="L65" s="50" t="s">
        <v>269</v>
      </c>
      <c r="N65" s="64"/>
      <c r="O65" s="64"/>
      <c r="P65" s="64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49">
        <v>8454066605</v>
      </c>
      <c r="G66" s="50" t="str">
        <f t="shared" si="0"/>
        <v>89 MARVIN AVE BREWSTER NY 10509</v>
      </c>
      <c r="J66" s="68">
        <v>65</v>
      </c>
      <c r="K66" s="50" t="s">
        <v>310</v>
      </c>
      <c r="L66" s="50" t="s">
        <v>269</v>
      </c>
      <c r="N66" s="64"/>
      <c r="O66" s="64"/>
      <c r="P66" s="64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68">
        <v>66</v>
      </c>
      <c r="K67" s="50" t="s">
        <v>131</v>
      </c>
      <c r="L67" s="50" t="s">
        <v>269</v>
      </c>
      <c r="N67" s="64"/>
      <c r="O67" s="64"/>
      <c r="P67" s="64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68">
        <v>67</v>
      </c>
      <c r="K68" s="50" t="s">
        <v>116</v>
      </c>
      <c r="L68" s="50" t="s">
        <v>269</v>
      </c>
      <c r="N68" s="64"/>
      <c r="O68" s="64"/>
      <c r="P68" s="64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68">
        <v>68</v>
      </c>
      <c r="K69" s="50" t="s">
        <v>190</v>
      </c>
      <c r="L69" s="50" t="s">
        <v>113</v>
      </c>
      <c r="N69" s="64"/>
      <c r="O69" s="64"/>
      <c r="P69" s="64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68">
        <v>69</v>
      </c>
      <c r="K70" s="50" t="s">
        <v>300</v>
      </c>
      <c r="L70" s="50" t="s">
        <v>271</v>
      </c>
      <c r="N70" s="64"/>
      <c r="O70" s="64"/>
      <c r="P70" s="64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68">
        <v>70</v>
      </c>
      <c r="K71" s="50" t="s">
        <v>312</v>
      </c>
      <c r="L71" s="50" t="s">
        <v>269</v>
      </c>
      <c r="N71" s="64"/>
      <c r="O71" s="64"/>
      <c r="P71" s="64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68">
        <v>71</v>
      </c>
      <c r="K72" s="50" t="s">
        <v>186</v>
      </c>
      <c r="L72" s="50" t="s">
        <v>113</v>
      </c>
      <c r="N72" s="64"/>
      <c r="O72" s="64"/>
      <c r="P72" s="64"/>
    </row>
    <row r="73" spans="1:16" x14ac:dyDescent="0.2">
      <c r="A73" s="50">
        <v>72</v>
      </c>
      <c r="B73" s="50" t="s">
        <v>383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68">
        <v>72</v>
      </c>
      <c r="K73" s="50" t="s">
        <v>142</v>
      </c>
      <c r="L73" s="50" t="s">
        <v>270</v>
      </c>
      <c r="N73" s="64"/>
      <c r="O73" s="64"/>
      <c r="P73" s="64"/>
    </row>
    <row r="74" spans="1:16" x14ac:dyDescent="0.2">
      <c r="A74" s="50">
        <v>73</v>
      </c>
      <c r="B74" s="50" t="s">
        <v>384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68">
        <v>73</v>
      </c>
      <c r="K74" s="50" t="s">
        <v>189</v>
      </c>
      <c r="L74" s="50" t="s">
        <v>113</v>
      </c>
      <c r="N74" s="64"/>
      <c r="O74" s="64"/>
      <c r="P74" s="64"/>
    </row>
    <row r="75" spans="1:16" x14ac:dyDescent="0.2">
      <c r="A75" s="50">
        <v>74</v>
      </c>
      <c r="B75" s="50" t="s">
        <v>385</v>
      </c>
      <c r="C75" s="50" t="s">
        <v>37</v>
      </c>
      <c r="D75" s="50" t="s">
        <v>18</v>
      </c>
      <c r="E75" s="50">
        <v>10576</v>
      </c>
      <c r="F75" s="49">
        <f ca="1">RANDBETWEEN(1000000000,9999999999)</f>
        <v>4029851629</v>
      </c>
      <c r="G75" s="50" t="str">
        <f t="shared" si="1"/>
        <v>30 HONEY RD POUND ROAD NY 10576</v>
      </c>
      <c r="J75" s="68">
        <v>74</v>
      </c>
      <c r="K75" s="50" t="s">
        <v>182</v>
      </c>
      <c r="L75" s="50" t="s">
        <v>113</v>
      </c>
      <c r="N75" s="64"/>
      <c r="O75" s="64"/>
      <c r="P75" s="64"/>
    </row>
    <row r="76" spans="1:16" x14ac:dyDescent="0.2">
      <c r="A76" s="50">
        <v>75</v>
      </c>
      <c r="B76" s="50" t="s">
        <v>386</v>
      </c>
      <c r="C76" s="50" t="s">
        <v>50</v>
      </c>
      <c r="D76" s="50" t="s">
        <v>18</v>
      </c>
      <c r="E76" s="50">
        <v>10507</v>
      </c>
      <c r="F76" s="49">
        <f t="shared" ref="F76:F122" ca="1" si="2">RANDBETWEEN(1000000000,9999999999)</f>
        <v>8613922259</v>
      </c>
      <c r="G76" s="50" t="str">
        <f t="shared" si="1"/>
        <v>200 BARBIT RD BEDFORD HILLS NY 10507</v>
      </c>
      <c r="J76" s="68">
        <v>75</v>
      </c>
      <c r="K76" s="50" t="s">
        <v>180</v>
      </c>
      <c r="L76" s="50" t="s">
        <v>113</v>
      </c>
      <c r="N76" s="64"/>
      <c r="O76" s="64"/>
      <c r="P76" s="64"/>
    </row>
    <row r="77" spans="1:16" x14ac:dyDescent="0.2">
      <c r="A77" s="50">
        <v>76</v>
      </c>
      <c r="B77" s="50" t="s">
        <v>387</v>
      </c>
      <c r="C77" s="50" t="s">
        <v>64</v>
      </c>
      <c r="D77" s="50" t="s">
        <v>18</v>
      </c>
      <c r="E77" s="50">
        <v>10514</v>
      </c>
      <c r="F77" s="49">
        <f t="shared" ca="1" si="2"/>
        <v>5772198392</v>
      </c>
      <c r="G77" s="50" t="str">
        <f t="shared" si="1"/>
        <v>260 PINES LN CHAPQUA NY 10514</v>
      </c>
      <c r="J77" s="68">
        <v>76</v>
      </c>
      <c r="K77" s="50" t="s">
        <v>261</v>
      </c>
      <c r="L77" s="50" t="s">
        <v>275</v>
      </c>
      <c r="N77" s="64"/>
      <c r="O77" s="64"/>
      <c r="P77" s="64"/>
    </row>
    <row r="78" spans="1:16" x14ac:dyDescent="0.2">
      <c r="A78" s="50">
        <v>77</v>
      </c>
      <c r="B78" s="50" t="s">
        <v>388</v>
      </c>
      <c r="C78" s="50" t="s">
        <v>50</v>
      </c>
      <c r="D78" s="50" t="s">
        <v>18</v>
      </c>
      <c r="E78" s="50">
        <v>10507</v>
      </c>
      <c r="F78" s="49">
        <f t="shared" ca="1" si="2"/>
        <v>2941604002</v>
      </c>
      <c r="G78" s="50" t="str">
        <f t="shared" si="1"/>
        <v>126 ROME AVE BEDFORD HILLS NY 10507</v>
      </c>
      <c r="J78" s="68">
        <v>77</v>
      </c>
      <c r="K78" s="50" t="s">
        <v>171</v>
      </c>
      <c r="L78" s="50" t="s">
        <v>163</v>
      </c>
      <c r="N78" s="64"/>
      <c r="O78" s="64"/>
      <c r="P78" s="64"/>
    </row>
    <row r="79" spans="1:16" x14ac:dyDescent="0.2">
      <c r="A79" s="50">
        <v>78</v>
      </c>
      <c r="B79" s="50" t="s">
        <v>389</v>
      </c>
      <c r="C79" s="50" t="s">
        <v>50</v>
      </c>
      <c r="D79" s="50" t="s">
        <v>18</v>
      </c>
      <c r="E79" s="50">
        <v>10549</v>
      </c>
      <c r="F79" s="49">
        <f t="shared" ca="1" si="2"/>
        <v>3257944095</v>
      </c>
      <c r="G79" s="50" t="str">
        <f t="shared" si="1"/>
        <v>70 MILAN AVE BEDFORD HILLS NY 10549</v>
      </c>
      <c r="J79" s="68">
        <v>78</v>
      </c>
      <c r="K79" s="50" t="s">
        <v>228</v>
      </c>
      <c r="L79" s="50" t="s">
        <v>272</v>
      </c>
      <c r="N79" s="64"/>
      <c r="O79" s="64"/>
      <c r="P79" s="64"/>
    </row>
    <row r="80" spans="1:16" x14ac:dyDescent="0.2">
      <c r="A80" s="50">
        <v>79</v>
      </c>
      <c r="B80" s="50" t="s">
        <v>390</v>
      </c>
      <c r="C80" s="50" t="s">
        <v>28</v>
      </c>
      <c r="D80" s="50" t="s">
        <v>18</v>
      </c>
      <c r="E80" s="50">
        <v>10549</v>
      </c>
      <c r="F80" s="49">
        <f t="shared" ca="1" si="2"/>
        <v>2571482323</v>
      </c>
      <c r="G80" s="50" t="str">
        <f t="shared" si="1"/>
        <v>40 DIPLOMAT DR MOUNTKISCO NY 10549</v>
      </c>
      <c r="J80" s="68">
        <v>79</v>
      </c>
      <c r="K80" s="50" t="s">
        <v>136</v>
      </c>
      <c r="L80" s="50" t="s">
        <v>269</v>
      </c>
      <c r="N80" s="64"/>
      <c r="O80" s="64"/>
      <c r="P80" s="64"/>
    </row>
    <row r="81" spans="1:16" x14ac:dyDescent="0.2">
      <c r="A81" s="50">
        <v>80</v>
      </c>
      <c r="B81" s="50" t="s">
        <v>391</v>
      </c>
      <c r="C81" s="50" t="s">
        <v>22</v>
      </c>
      <c r="D81" s="50" t="s">
        <v>18</v>
      </c>
      <c r="E81" s="50">
        <v>10080</v>
      </c>
      <c r="F81" s="49">
        <f t="shared" ca="1" si="2"/>
        <v>3827910714</v>
      </c>
      <c r="G81" s="50" t="str">
        <f t="shared" si="1"/>
        <v>311 MAPPLE ST NEW YORK HILLS NY 10080</v>
      </c>
      <c r="J81" s="63">
        <v>80</v>
      </c>
      <c r="K81" s="50" t="s">
        <v>191</v>
      </c>
      <c r="L81" s="50" t="s">
        <v>113</v>
      </c>
      <c r="N81" s="64"/>
      <c r="O81" s="64"/>
      <c r="P81" s="64"/>
    </row>
    <row r="82" spans="1:16" x14ac:dyDescent="0.2">
      <c r="A82" s="50">
        <v>81</v>
      </c>
      <c r="B82" s="50" t="s">
        <v>392</v>
      </c>
      <c r="C82" s="50" t="s">
        <v>26</v>
      </c>
      <c r="D82" s="50" t="s">
        <v>18</v>
      </c>
      <c r="E82" s="50">
        <v>10549</v>
      </c>
      <c r="F82" s="49">
        <f t="shared" ca="1" si="2"/>
        <v>4418698733</v>
      </c>
      <c r="G82" s="50" t="str">
        <f t="shared" si="1"/>
        <v>35 MAIN ST BREWSTER NY 10549</v>
      </c>
      <c r="J82" s="63">
        <v>81</v>
      </c>
      <c r="K82" s="50" t="s">
        <v>236</v>
      </c>
      <c r="L82" s="50" t="s">
        <v>273</v>
      </c>
      <c r="N82" s="64"/>
      <c r="O82" s="64"/>
      <c r="P82" s="64"/>
    </row>
    <row r="83" spans="1:16" x14ac:dyDescent="0.2">
      <c r="A83" s="50">
        <v>82</v>
      </c>
      <c r="B83" s="50" t="s">
        <v>393</v>
      </c>
      <c r="C83" s="50" t="s">
        <v>394</v>
      </c>
      <c r="D83" s="50" t="s">
        <v>395</v>
      </c>
      <c r="E83" s="50">
        <v>70053</v>
      </c>
      <c r="F83" s="49">
        <f t="shared" ca="1" si="2"/>
        <v>1764970766</v>
      </c>
      <c r="G83" s="50" t="str">
        <f t="shared" si="1"/>
        <v>708 HURST BLVD HURST FX 70053</v>
      </c>
      <c r="J83" s="63">
        <v>82</v>
      </c>
      <c r="K83" s="50" t="s">
        <v>151</v>
      </c>
      <c r="L83" s="50" t="s">
        <v>270</v>
      </c>
      <c r="N83" s="64"/>
      <c r="O83" s="64"/>
      <c r="P83" s="64"/>
    </row>
    <row r="84" spans="1:16" x14ac:dyDescent="0.2">
      <c r="A84" s="50">
        <v>83</v>
      </c>
      <c r="B84" s="50" t="s">
        <v>396</v>
      </c>
      <c r="C84" s="50" t="s">
        <v>397</v>
      </c>
      <c r="D84" s="50" t="s">
        <v>398</v>
      </c>
      <c r="E84" s="50">
        <v>36824</v>
      </c>
      <c r="F84" s="49">
        <f t="shared" ca="1" si="2"/>
        <v>2787330976</v>
      </c>
      <c r="G84" s="50" t="str">
        <f t="shared" si="1"/>
        <v>824 SUDNEY ST VALLEY AL 36824</v>
      </c>
      <c r="J84" s="63">
        <v>83</v>
      </c>
      <c r="K84" s="50" t="s">
        <v>123</v>
      </c>
      <c r="L84" s="50" t="s">
        <v>269</v>
      </c>
      <c r="N84" s="64"/>
      <c r="O84" s="64"/>
      <c r="P84" s="64"/>
    </row>
    <row r="85" spans="1:16" x14ac:dyDescent="0.2">
      <c r="A85" s="50">
        <v>84</v>
      </c>
      <c r="B85" s="50" t="s">
        <v>399</v>
      </c>
      <c r="C85" s="50" t="s">
        <v>400</v>
      </c>
      <c r="D85" s="50" t="s">
        <v>401</v>
      </c>
      <c r="E85" s="50">
        <v>18020</v>
      </c>
      <c r="F85" s="49">
        <f t="shared" ca="1" si="2"/>
        <v>9399465092</v>
      </c>
      <c r="G85" s="50" t="str">
        <f t="shared" si="1"/>
        <v>2124 JOHNSTON DR. APT 10 BETHLEHEM PA 18020</v>
      </c>
      <c r="J85" s="63">
        <v>84</v>
      </c>
      <c r="K85" s="50" t="s">
        <v>121</v>
      </c>
      <c r="L85" s="50" t="s">
        <v>269</v>
      </c>
      <c r="N85" s="64"/>
      <c r="O85" s="64"/>
      <c r="P85" s="64"/>
    </row>
    <row r="86" spans="1:16" x14ac:dyDescent="0.2">
      <c r="A86" s="50">
        <v>85</v>
      </c>
      <c r="B86" s="50" t="s">
        <v>402</v>
      </c>
      <c r="C86" s="50" t="s">
        <v>403</v>
      </c>
      <c r="D86" s="50" t="s">
        <v>404</v>
      </c>
      <c r="E86" s="50">
        <v>91401</v>
      </c>
      <c r="F86" s="49">
        <f t="shared" ca="1" si="2"/>
        <v>2167256425</v>
      </c>
      <c r="G86" s="50" t="str">
        <f t="shared" si="1"/>
        <v>13357 BURBANK BLV APT 6 VANNVYS CA 91401</v>
      </c>
      <c r="J86" s="63">
        <v>85</v>
      </c>
      <c r="K86" s="50" t="s">
        <v>282</v>
      </c>
      <c r="L86" s="50" t="s">
        <v>276</v>
      </c>
      <c r="N86" s="64"/>
      <c r="O86" s="64"/>
      <c r="P86" s="64"/>
    </row>
    <row r="87" spans="1:16" x14ac:dyDescent="0.2">
      <c r="A87" s="50">
        <v>86</v>
      </c>
      <c r="B87" s="50" t="s">
        <v>407</v>
      </c>
      <c r="C87" s="50" t="s">
        <v>28</v>
      </c>
      <c r="D87" s="50" t="s">
        <v>18</v>
      </c>
      <c r="E87" s="50">
        <v>10544</v>
      </c>
      <c r="F87" s="49">
        <f t="shared" ca="1" si="2"/>
        <v>2975678367</v>
      </c>
      <c r="G87" s="50" t="str">
        <f t="shared" si="1"/>
        <v>177 LEXINGTON AVE MOUNTKISCO NY 10544</v>
      </c>
      <c r="J87" s="63">
        <v>86</v>
      </c>
      <c r="K87" s="50" t="s">
        <v>250</v>
      </c>
      <c r="L87" s="50" t="s">
        <v>274</v>
      </c>
      <c r="N87" s="64"/>
      <c r="O87" s="64"/>
      <c r="P87" s="64"/>
    </row>
    <row r="88" spans="1:16" x14ac:dyDescent="0.2">
      <c r="A88" s="50">
        <v>87</v>
      </c>
      <c r="B88" s="50" t="s">
        <v>409</v>
      </c>
      <c r="C88" s="50" t="s">
        <v>26</v>
      </c>
      <c r="D88" s="50" t="s">
        <v>18</v>
      </c>
      <c r="E88" s="50">
        <v>10509</v>
      </c>
      <c r="F88" s="49">
        <f t="shared" ca="1" si="2"/>
        <v>8771214316</v>
      </c>
      <c r="G88" s="50" t="str">
        <f t="shared" si="1"/>
        <v>992 ROUTE 22 BREWSTER NY 10509</v>
      </c>
      <c r="J88" s="63">
        <v>87</v>
      </c>
      <c r="K88" s="50" t="s">
        <v>209</v>
      </c>
      <c r="L88" s="50" t="s">
        <v>271</v>
      </c>
      <c r="N88" s="64"/>
      <c r="O88" s="64"/>
      <c r="P88" s="64"/>
    </row>
    <row r="89" spans="1:16" x14ac:dyDescent="0.2">
      <c r="A89" s="50">
        <v>88</v>
      </c>
      <c r="B89" s="50" t="s">
        <v>410</v>
      </c>
      <c r="C89" s="50" t="s">
        <v>408</v>
      </c>
      <c r="D89" s="50" t="s">
        <v>18</v>
      </c>
      <c r="E89" s="50">
        <v>10562</v>
      </c>
      <c r="F89" s="49">
        <f t="shared" ca="1" si="2"/>
        <v>1171523132</v>
      </c>
      <c r="G89" s="50" t="str">
        <f t="shared" si="1"/>
        <v>62 N HIGHLAND AVE OSSINING NY 10562</v>
      </c>
      <c r="J89" s="63">
        <v>88</v>
      </c>
      <c r="K89" s="50" t="s">
        <v>301</v>
      </c>
      <c r="L89" s="50" t="s">
        <v>269</v>
      </c>
      <c r="N89" s="64"/>
      <c r="O89" s="64"/>
      <c r="P89" s="64"/>
    </row>
    <row r="90" spans="1:16" x14ac:dyDescent="0.2">
      <c r="A90" s="50">
        <v>89</v>
      </c>
      <c r="B90" s="50" t="s">
        <v>411</v>
      </c>
      <c r="C90" s="50" t="s">
        <v>412</v>
      </c>
      <c r="D90" s="50" t="s">
        <v>18</v>
      </c>
      <c r="E90" s="50">
        <v>12401</v>
      </c>
      <c r="F90" s="49">
        <f t="shared" ca="1" si="2"/>
        <v>4474432889</v>
      </c>
      <c r="G90" s="50" t="str">
        <f t="shared" si="1"/>
        <v>686 BRADWAY KINGSTON NY 12401</v>
      </c>
      <c r="J90" s="63">
        <v>89</v>
      </c>
      <c r="K90" s="50" t="s">
        <v>207</v>
      </c>
      <c r="L90" s="50" t="s">
        <v>271</v>
      </c>
      <c r="N90" s="64"/>
      <c r="O90" s="64"/>
      <c r="P90" s="64"/>
    </row>
    <row r="91" spans="1:16" x14ac:dyDescent="0.2">
      <c r="A91" s="50">
        <v>90</v>
      </c>
      <c r="B91" s="50" t="s">
        <v>413</v>
      </c>
      <c r="C91" s="50" t="s">
        <v>414</v>
      </c>
      <c r="D91" s="50" t="s">
        <v>18</v>
      </c>
      <c r="E91" s="65" t="s">
        <v>424</v>
      </c>
      <c r="F91" s="49">
        <f t="shared" ca="1" si="2"/>
        <v>4895819123</v>
      </c>
      <c r="G91" s="50" t="str">
        <f t="shared" si="1"/>
        <v>359 SOMERSET ST NORTH PLAINFIELD (NJ) NY 07060</v>
      </c>
      <c r="J91" s="63">
        <v>90</v>
      </c>
      <c r="K91" s="50" t="s">
        <v>144</v>
      </c>
      <c r="L91" s="50" t="s">
        <v>270</v>
      </c>
      <c r="N91" s="64"/>
      <c r="O91" s="64"/>
      <c r="P91" s="64"/>
    </row>
    <row r="92" spans="1:16" x14ac:dyDescent="0.2">
      <c r="A92" s="50">
        <v>91</v>
      </c>
      <c r="B92" s="50" t="s">
        <v>416</v>
      </c>
      <c r="C92" s="50" t="s">
        <v>415</v>
      </c>
      <c r="D92" s="50" t="s">
        <v>18</v>
      </c>
      <c r="E92" s="50">
        <v>10977</v>
      </c>
      <c r="F92" s="49">
        <f t="shared" ca="1" si="2"/>
        <v>7124830621</v>
      </c>
      <c r="G92" s="50" t="str">
        <f t="shared" si="1"/>
        <v>28 S MAIN ST SPRING VALLEY NY 10977</v>
      </c>
      <c r="J92" s="63">
        <v>91</v>
      </c>
      <c r="K92" s="50" t="s">
        <v>254</v>
      </c>
      <c r="L92" s="50" t="s">
        <v>274</v>
      </c>
      <c r="N92" s="64"/>
      <c r="O92" s="64"/>
      <c r="P92" s="64"/>
    </row>
    <row r="93" spans="1:16" x14ac:dyDescent="0.2">
      <c r="A93" s="50">
        <v>92</v>
      </c>
      <c r="B93" s="50" t="s">
        <v>418</v>
      </c>
      <c r="C93" s="50" t="s">
        <v>417</v>
      </c>
      <c r="D93" s="50" t="s">
        <v>18</v>
      </c>
      <c r="E93" s="50">
        <v>11520</v>
      </c>
      <c r="F93" s="49">
        <f t="shared" ca="1" si="2"/>
        <v>3065866910</v>
      </c>
      <c r="G93" s="50" t="str">
        <f t="shared" si="1"/>
        <v>282 N MAIN ST FREEPORT NY 11520</v>
      </c>
      <c r="J93" s="63">
        <v>92</v>
      </c>
      <c r="K93" s="50" t="s">
        <v>143</v>
      </c>
      <c r="L93" s="50" t="s">
        <v>270</v>
      </c>
      <c r="N93" s="64"/>
      <c r="O93" s="64"/>
      <c r="P93" s="64"/>
    </row>
    <row r="94" spans="1:16" x14ac:dyDescent="0.2">
      <c r="A94" s="50">
        <v>93</v>
      </c>
      <c r="B94" s="50" t="s">
        <v>419</v>
      </c>
      <c r="C94" s="50" t="s">
        <v>420</v>
      </c>
      <c r="D94" s="50" t="s">
        <v>18</v>
      </c>
      <c r="E94" s="50">
        <v>10566</v>
      </c>
      <c r="F94" s="49">
        <f t="shared" ca="1" si="2"/>
        <v>8995110476</v>
      </c>
      <c r="G94" s="50" t="str">
        <f t="shared" si="1"/>
        <v>901 MAIN ST, 800 PEEKSKILL NY 10566</v>
      </c>
      <c r="J94" s="63">
        <v>93</v>
      </c>
      <c r="K94" s="50" t="s">
        <v>154</v>
      </c>
      <c r="L94" s="50" t="s">
        <v>270</v>
      </c>
      <c r="N94" s="64"/>
      <c r="O94" s="64"/>
      <c r="P94" s="64"/>
    </row>
    <row r="95" spans="1:16" x14ac:dyDescent="0.2">
      <c r="A95" s="50">
        <v>94</v>
      </c>
      <c r="B95" s="50" t="s">
        <v>421</v>
      </c>
      <c r="C95" s="50" t="s">
        <v>422</v>
      </c>
      <c r="D95" s="50" t="s">
        <v>423</v>
      </c>
      <c r="E95" s="65" t="s">
        <v>425</v>
      </c>
      <c r="F95" s="49">
        <f t="shared" ca="1" si="2"/>
        <v>9056392112</v>
      </c>
      <c r="G95" s="50" t="str">
        <f t="shared" si="1"/>
        <v>24 ELM ST DANBURY CT 06810</v>
      </c>
      <c r="J95" s="63">
        <v>94</v>
      </c>
      <c r="K95" s="50" t="s">
        <v>263</v>
      </c>
      <c r="L95" s="50" t="s">
        <v>275</v>
      </c>
      <c r="N95" s="64"/>
      <c r="O95" s="64"/>
      <c r="P95" s="64"/>
    </row>
    <row r="96" spans="1:16" x14ac:dyDescent="0.2">
      <c r="A96" s="49">
        <v>95</v>
      </c>
      <c r="B96" s="50" t="str">
        <f>UPPER("100 Grove St")</f>
        <v>100 GROVE ST</v>
      </c>
      <c r="C96" s="50" t="s">
        <v>28</v>
      </c>
      <c r="D96" s="50" t="s">
        <v>18</v>
      </c>
      <c r="E96" s="50">
        <v>10549</v>
      </c>
      <c r="F96" s="49">
        <f t="shared" ca="1" si="2"/>
        <v>6651229404</v>
      </c>
      <c r="G96" s="50" t="str">
        <f>((B96&amp;" "&amp;C96)&amp;" "&amp;D96)&amp;" "&amp;E96</f>
        <v>100 GROVE ST MOUNTKISCO NY 10549</v>
      </c>
      <c r="J96" s="69">
        <v>95</v>
      </c>
      <c r="K96" s="50" t="s">
        <v>145</v>
      </c>
      <c r="L96" s="50" t="s">
        <v>270</v>
      </c>
      <c r="N96" s="64"/>
      <c r="O96" s="64"/>
      <c r="P96" s="64"/>
    </row>
    <row r="97" spans="1:16" x14ac:dyDescent="0.2">
      <c r="A97" s="50">
        <v>96</v>
      </c>
      <c r="B97" s="50" t="str">
        <f>UPPER("52 Grove St")</f>
        <v>52 GROVE ST</v>
      </c>
      <c r="C97" s="50" t="s">
        <v>28</v>
      </c>
      <c r="D97" s="50" t="s">
        <v>18</v>
      </c>
      <c r="E97" s="50">
        <v>10549</v>
      </c>
      <c r="F97" s="49">
        <f t="shared" ca="1" si="2"/>
        <v>8902853837</v>
      </c>
      <c r="G97" s="50" t="str">
        <f>((B97&amp;" "&amp;C97)&amp;" "&amp;D97)&amp;" "&amp;E97</f>
        <v>52 GROVE ST MOUNTKISCO NY 10549</v>
      </c>
      <c r="J97" s="69">
        <v>96</v>
      </c>
      <c r="K97" s="50" t="s">
        <v>285</v>
      </c>
      <c r="L97" s="50" t="s">
        <v>276</v>
      </c>
      <c r="N97" s="64"/>
      <c r="O97" s="64"/>
      <c r="P97" s="64"/>
    </row>
    <row r="98" spans="1:16" x14ac:dyDescent="0.2">
      <c r="A98" s="50">
        <v>97</v>
      </c>
      <c r="B98" s="50" t="str">
        <f>UPPER("206 Spring St")</f>
        <v>206 SPRING ST</v>
      </c>
      <c r="C98" s="50" t="s">
        <v>28</v>
      </c>
      <c r="D98" s="50" t="s">
        <v>18</v>
      </c>
      <c r="E98" s="50">
        <v>10549</v>
      </c>
      <c r="F98" s="49">
        <f t="shared" ca="1" si="2"/>
        <v>7727243719</v>
      </c>
      <c r="G98" s="50" t="str">
        <f t="shared" ref="G98:G122" si="3">((B98&amp;" "&amp;C98)&amp;" "&amp;D98)&amp;" "&amp;E98</f>
        <v>206 SPRING ST MOUNTKISCO NY 10549</v>
      </c>
      <c r="J98" s="69">
        <v>97</v>
      </c>
      <c r="K98" s="50" t="s">
        <v>279</v>
      </c>
      <c r="L98" s="50" t="s">
        <v>276</v>
      </c>
      <c r="N98" s="64"/>
      <c r="O98" s="64"/>
      <c r="P98" s="64"/>
    </row>
    <row r="99" spans="1:16" x14ac:dyDescent="0.2">
      <c r="A99" s="50">
        <v>98</v>
      </c>
      <c r="B99" s="50" t="str">
        <f>UPPER("90 N Main St")</f>
        <v>90 N MAIN ST</v>
      </c>
      <c r="C99" s="50" t="str">
        <f>UPPER("Brewster")</f>
        <v>BREWSTER</v>
      </c>
      <c r="D99" s="50" t="s">
        <v>18</v>
      </c>
      <c r="E99" s="50">
        <v>10509</v>
      </c>
      <c r="F99" s="49">
        <f t="shared" ca="1" si="2"/>
        <v>4313517894</v>
      </c>
      <c r="G99" s="50" t="str">
        <f t="shared" si="3"/>
        <v>90 N MAIN ST BREWSTER NY 10509</v>
      </c>
      <c r="J99" s="69">
        <v>98</v>
      </c>
      <c r="K99" s="50" t="s">
        <v>227</v>
      </c>
      <c r="L99" s="50" t="s">
        <v>272</v>
      </c>
      <c r="N99" s="64"/>
      <c r="O99" s="64"/>
      <c r="P99" s="64"/>
    </row>
    <row r="100" spans="1:16" x14ac:dyDescent="0.2">
      <c r="A100" s="50">
        <v>99</v>
      </c>
      <c r="B100" s="50" t="str">
        <f>UPPER("93 Peaceable Hill Rd")</f>
        <v>93 PEACEABLE HILL RD</v>
      </c>
      <c r="C100" s="50" t="str">
        <f>UPPER("Brewster")</f>
        <v>BREWSTER</v>
      </c>
      <c r="D100" s="50" t="s">
        <v>18</v>
      </c>
      <c r="E100" s="50">
        <v>10509</v>
      </c>
      <c r="F100" s="49">
        <f t="shared" ca="1" si="2"/>
        <v>4360209844</v>
      </c>
      <c r="G100" s="50" t="str">
        <f t="shared" si="3"/>
        <v>93 PEACEABLE HILL RD BREWSTER NY 10509</v>
      </c>
      <c r="J100" s="69">
        <v>99</v>
      </c>
      <c r="K100" s="50" t="s">
        <v>303</v>
      </c>
      <c r="L100" s="50" t="s">
        <v>269</v>
      </c>
      <c r="N100" s="64"/>
      <c r="O100" s="64"/>
      <c r="P100" s="64"/>
    </row>
    <row r="101" spans="1:16" x14ac:dyDescent="0.2">
      <c r="A101" s="50">
        <v>100</v>
      </c>
      <c r="B101" s="50" t="s">
        <v>446</v>
      </c>
      <c r="C101" s="50" t="str">
        <f>UPPER("Brewster")</f>
        <v>BREWSTER</v>
      </c>
      <c r="D101" s="50" t="s">
        <v>18</v>
      </c>
      <c r="E101" s="50">
        <v>10509</v>
      </c>
      <c r="F101" s="49">
        <f t="shared" ca="1" si="2"/>
        <v>8897377374</v>
      </c>
      <c r="G101" s="50" t="str">
        <f t="shared" si="3"/>
        <v>10 CAROL CT BREWSTER NY 10509</v>
      </c>
      <c r="J101" s="69">
        <v>100</v>
      </c>
      <c r="K101" s="50" t="s">
        <v>221</v>
      </c>
      <c r="L101" s="50" t="s">
        <v>272</v>
      </c>
      <c r="N101" s="64"/>
      <c r="O101" s="64"/>
      <c r="P101" s="64"/>
    </row>
    <row r="102" spans="1:16" x14ac:dyDescent="0.2">
      <c r="A102" s="50">
        <v>101</v>
      </c>
      <c r="B102" s="50" t="s">
        <v>447</v>
      </c>
      <c r="C102" s="89" t="s">
        <v>70</v>
      </c>
      <c r="D102" s="50" t="s">
        <v>18</v>
      </c>
      <c r="E102" s="50">
        <v>10028</v>
      </c>
      <c r="F102" s="49">
        <f t="shared" ca="1" si="2"/>
        <v>9398686558</v>
      </c>
      <c r="G102" s="50" t="str">
        <f t="shared" si="3"/>
        <v>517 E 82ND ST NEW YORK NY 10028</v>
      </c>
      <c r="J102" s="69">
        <v>101</v>
      </c>
      <c r="K102" s="50" t="s">
        <v>292</v>
      </c>
      <c r="L102" s="50" t="s">
        <v>286</v>
      </c>
      <c r="N102" s="64"/>
      <c r="O102" s="64"/>
      <c r="P102" s="64"/>
    </row>
    <row r="103" spans="1:16" x14ac:dyDescent="0.2">
      <c r="A103" s="50">
        <v>102</v>
      </c>
      <c r="B103" s="50" t="s">
        <v>448</v>
      </c>
      <c r="C103" s="89" t="s">
        <v>70</v>
      </c>
      <c r="D103" s="50" t="s">
        <v>18</v>
      </c>
      <c r="E103" s="50">
        <v>10128</v>
      </c>
      <c r="F103" s="49">
        <f t="shared" ca="1" si="2"/>
        <v>7968911629</v>
      </c>
      <c r="G103" s="50" t="str">
        <f t="shared" si="3"/>
        <v>313 E 93RD ST NEW YORK NY 10128</v>
      </c>
      <c r="J103" s="69">
        <v>102</v>
      </c>
      <c r="K103" s="50" t="s">
        <v>206</v>
      </c>
      <c r="L103" s="50" t="s">
        <v>271</v>
      </c>
      <c r="N103" s="64"/>
      <c r="O103" s="64"/>
      <c r="P103" s="64"/>
    </row>
    <row r="104" spans="1:16" x14ac:dyDescent="0.2">
      <c r="A104" s="50">
        <v>103</v>
      </c>
      <c r="B104" s="50" t="s">
        <v>449</v>
      </c>
      <c r="C104" s="89" t="s">
        <v>70</v>
      </c>
      <c r="D104" s="50" t="s">
        <v>18</v>
      </c>
      <c r="E104" s="50">
        <v>10031</v>
      </c>
      <c r="F104" s="49">
        <f t="shared" ca="1" si="2"/>
        <v>9698772899</v>
      </c>
      <c r="G104" s="50" t="str">
        <f t="shared" si="3"/>
        <v>630 W 151ST NEW YORK NY 10031</v>
      </c>
      <c r="J104" s="69">
        <v>103</v>
      </c>
      <c r="K104" s="50" t="s">
        <v>288</v>
      </c>
      <c r="L104" s="50" t="s">
        <v>286</v>
      </c>
      <c r="N104" s="64"/>
      <c r="O104" s="64"/>
      <c r="P104" s="64"/>
    </row>
    <row r="105" spans="1:16" x14ac:dyDescent="0.2">
      <c r="A105" s="50">
        <v>104</v>
      </c>
      <c r="B105" s="50" t="s">
        <v>450</v>
      </c>
      <c r="C105" s="89" t="s">
        <v>28</v>
      </c>
      <c r="D105" s="50" t="s">
        <v>18</v>
      </c>
      <c r="E105" s="50">
        <v>10549</v>
      </c>
      <c r="F105" s="49">
        <f t="shared" ca="1" si="2"/>
        <v>6832186868</v>
      </c>
      <c r="G105" s="50" t="str">
        <f t="shared" si="3"/>
        <v>108 GROVE ST MOUNTKISCO NY 10549</v>
      </c>
      <c r="J105" s="69">
        <v>104</v>
      </c>
      <c r="K105" s="50" t="s">
        <v>132</v>
      </c>
      <c r="L105" s="50" t="s">
        <v>269</v>
      </c>
      <c r="N105" s="64"/>
      <c r="O105" s="64"/>
      <c r="P105" s="64"/>
    </row>
    <row r="106" spans="1:16" x14ac:dyDescent="0.2">
      <c r="A106" s="50">
        <v>105</v>
      </c>
      <c r="B106" s="50" t="s">
        <v>451</v>
      </c>
      <c r="C106" s="89" t="s">
        <v>28</v>
      </c>
      <c r="D106" s="50" t="s">
        <v>18</v>
      </c>
      <c r="E106" s="50">
        <v>10549</v>
      </c>
      <c r="F106" s="49">
        <f t="shared" ca="1" si="2"/>
        <v>6944921441</v>
      </c>
      <c r="G106" s="50" t="str">
        <f t="shared" si="3"/>
        <v>11 BROOK ST MOUNTKISCO NY 10549</v>
      </c>
      <c r="J106" s="69">
        <v>105</v>
      </c>
      <c r="K106" s="50" t="s">
        <v>222</v>
      </c>
      <c r="L106" s="50" t="s">
        <v>272</v>
      </c>
      <c r="N106" s="64"/>
      <c r="O106" s="64"/>
      <c r="P106" s="64"/>
    </row>
    <row r="107" spans="1:16" x14ac:dyDescent="0.2">
      <c r="A107" s="50">
        <v>106</v>
      </c>
      <c r="B107" s="50" t="s">
        <v>452</v>
      </c>
      <c r="C107" s="89" t="s">
        <v>28</v>
      </c>
      <c r="D107" s="50" t="s">
        <v>18</v>
      </c>
      <c r="E107" s="50">
        <v>10549</v>
      </c>
      <c r="F107" s="49">
        <f t="shared" ca="1" si="2"/>
        <v>1567789561</v>
      </c>
      <c r="G107" s="50" t="str">
        <f t="shared" si="3"/>
        <v>22 WILLETTS RD MOUNTKISCO NY 10549</v>
      </c>
      <c r="J107" s="69">
        <v>106</v>
      </c>
      <c r="K107" s="50" t="s">
        <v>264</v>
      </c>
      <c r="L107" s="50" t="s">
        <v>275</v>
      </c>
      <c r="N107" s="64"/>
      <c r="O107" s="64"/>
      <c r="P107" s="64"/>
    </row>
    <row r="108" spans="1:16" x14ac:dyDescent="0.2">
      <c r="A108" s="50">
        <v>107</v>
      </c>
      <c r="B108" s="50" t="s">
        <v>453</v>
      </c>
      <c r="C108" s="89" t="str">
        <f>UPPER("Spring Valley")</f>
        <v>SPRING VALLEY</v>
      </c>
      <c r="D108" s="50" t="s">
        <v>18</v>
      </c>
      <c r="E108" s="50">
        <v>10977</v>
      </c>
      <c r="F108" s="49">
        <f t="shared" ca="1" si="2"/>
        <v>8628002726</v>
      </c>
      <c r="G108" s="50" t="str">
        <f t="shared" si="3"/>
        <v>12 PARKER ST SPRING VALLEY NY 10977</v>
      </c>
      <c r="J108" s="69">
        <v>107</v>
      </c>
      <c r="K108" s="50" t="s">
        <v>212</v>
      </c>
      <c r="L108" s="50" t="s">
        <v>272</v>
      </c>
      <c r="N108" s="64"/>
      <c r="O108" s="64"/>
      <c r="P108" s="64"/>
    </row>
    <row r="109" spans="1:16" x14ac:dyDescent="0.2">
      <c r="A109" s="50">
        <v>108</v>
      </c>
      <c r="B109" s="50" t="s">
        <v>454</v>
      </c>
      <c r="C109" s="89" t="str">
        <f>UPPER("Spring Valley")</f>
        <v>SPRING VALLEY</v>
      </c>
      <c r="D109" s="50" t="s">
        <v>18</v>
      </c>
      <c r="E109" s="50">
        <v>10977</v>
      </c>
      <c r="F109" s="49">
        <f t="shared" ca="1" si="2"/>
        <v>6959399183</v>
      </c>
      <c r="G109" s="50" t="str">
        <f t="shared" si="3"/>
        <v>23 ALBACON RD SPRING VALLEY NY 10977</v>
      </c>
      <c r="J109" s="69">
        <v>108</v>
      </c>
      <c r="K109" s="50" t="s">
        <v>170</v>
      </c>
      <c r="L109" s="50" t="s">
        <v>163</v>
      </c>
      <c r="N109" s="64"/>
      <c r="O109" s="64"/>
      <c r="P109" s="64"/>
    </row>
    <row r="110" spans="1:16" x14ac:dyDescent="0.2">
      <c r="A110" s="50">
        <v>109</v>
      </c>
      <c r="B110" s="50" t="s">
        <v>455</v>
      </c>
      <c r="C110" s="89" t="s">
        <v>39</v>
      </c>
      <c r="D110" s="50" t="s">
        <v>18</v>
      </c>
      <c r="E110" s="50">
        <v>10549</v>
      </c>
      <c r="F110" s="49">
        <f t="shared" ca="1" si="2"/>
        <v>1963479585</v>
      </c>
      <c r="G110" s="50" t="str">
        <f t="shared" si="3"/>
        <v>11 HAMMOND RIDGE RD BEDFORD CORNERS NY 10549</v>
      </c>
      <c r="J110" s="69">
        <v>109</v>
      </c>
      <c r="K110" s="50" t="s">
        <v>249</v>
      </c>
      <c r="L110" s="50" t="s">
        <v>274</v>
      </c>
      <c r="N110" s="64"/>
      <c r="O110" s="64"/>
      <c r="P110" s="64"/>
    </row>
    <row r="111" spans="1:16" x14ac:dyDescent="0.2">
      <c r="A111" s="50">
        <v>110</v>
      </c>
      <c r="B111" s="50" t="s">
        <v>456</v>
      </c>
      <c r="C111" s="89" t="s">
        <v>39</v>
      </c>
      <c r="D111" s="50" t="s">
        <v>18</v>
      </c>
      <c r="E111" s="50">
        <v>10549</v>
      </c>
      <c r="F111" s="49">
        <f t="shared" ca="1" si="2"/>
        <v>1234142637</v>
      </c>
      <c r="G111" s="50" t="str">
        <f t="shared" si="3"/>
        <v>31 HAMMOND RIDGE RD BEDFORD CORNERS NY 10549</v>
      </c>
      <c r="J111" s="69">
        <v>110</v>
      </c>
      <c r="K111" s="50" t="s">
        <v>210</v>
      </c>
      <c r="L111" s="50" t="s">
        <v>271</v>
      </c>
      <c r="N111" s="64"/>
      <c r="O111" s="64"/>
      <c r="P111" s="64"/>
    </row>
    <row r="112" spans="1:16" x14ac:dyDescent="0.2">
      <c r="A112" s="50">
        <v>111</v>
      </c>
      <c r="B112" s="50" t="s">
        <v>457</v>
      </c>
      <c r="C112" s="89" t="s">
        <v>64</v>
      </c>
      <c r="D112" s="50" t="s">
        <v>18</v>
      </c>
      <c r="E112" s="50">
        <v>10514</v>
      </c>
      <c r="F112" s="49">
        <f t="shared" ca="1" si="2"/>
        <v>4760447084</v>
      </c>
      <c r="G112" s="50" t="str">
        <f t="shared" si="3"/>
        <v>400 KING ST CHAPQUA NY 10514</v>
      </c>
      <c r="J112" s="69">
        <v>111</v>
      </c>
      <c r="K112" s="50" t="s">
        <v>133</v>
      </c>
      <c r="L112" s="50" t="s">
        <v>269</v>
      </c>
      <c r="N112" s="64"/>
      <c r="O112" s="64"/>
      <c r="P112" s="64"/>
    </row>
    <row r="113" spans="1:16" x14ac:dyDescent="0.2">
      <c r="A113" s="50">
        <v>112</v>
      </c>
      <c r="B113" s="50" t="s">
        <v>458</v>
      </c>
      <c r="C113" s="89" t="s">
        <v>64</v>
      </c>
      <c r="D113" s="50" t="s">
        <v>18</v>
      </c>
      <c r="E113" s="50">
        <v>10514</v>
      </c>
      <c r="F113" s="49">
        <f t="shared" ca="1" si="2"/>
        <v>3958881437</v>
      </c>
      <c r="G113" s="50" t="str">
        <f t="shared" si="3"/>
        <v>3 ELM ST CHAPQUA NY 10514</v>
      </c>
      <c r="J113" s="69">
        <v>112</v>
      </c>
      <c r="K113" s="50" t="s">
        <v>118</v>
      </c>
      <c r="L113" s="50" t="s">
        <v>269</v>
      </c>
      <c r="N113" s="64"/>
      <c r="O113" s="64"/>
      <c r="P113" s="64"/>
    </row>
    <row r="114" spans="1:16" x14ac:dyDescent="0.2">
      <c r="A114" s="50">
        <v>113</v>
      </c>
      <c r="B114" s="50" t="s">
        <v>459</v>
      </c>
      <c r="C114" s="89" t="s">
        <v>28</v>
      </c>
      <c r="D114" s="50" t="s">
        <v>18</v>
      </c>
      <c r="E114" s="50">
        <v>10549</v>
      </c>
      <c r="F114" s="49">
        <f t="shared" ca="1" si="2"/>
        <v>4326314819</v>
      </c>
      <c r="G114" s="50" t="str">
        <f t="shared" si="3"/>
        <v>27 LEONARD ST MOUNTKISCO NY 10549</v>
      </c>
      <c r="J114" s="69">
        <v>113</v>
      </c>
      <c r="K114" s="50" t="s">
        <v>220</v>
      </c>
      <c r="L114" s="50" t="s">
        <v>272</v>
      </c>
      <c r="N114" s="64"/>
      <c r="O114" s="64"/>
      <c r="P114" s="64"/>
    </row>
    <row r="115" spans="1:16" x14ac:dyDescent="0.2">
      <c r="A115" s="50">
        <v>114</v>
      </c>
      <c r="B115" s="50" t="s">
        <v>460</v>
      </c>
      <c r="C115" s="89" t="s">
        <v>28</v>
      </c>
      <c r="D115" s="50" t="s">
        <v>18</v>
      </c>
      <c r="E115" s="50">
        <v>10549</v>
      </c>
      <c r="F115" s="49">
        <f t="shared" ca="1" si="2"/>
        <v>9629689285</v>
      </c>
      <c r="G115" s="50" t="str">
        <f t="shared" si="3"/>
        <v>67 CROTON AVE MOUNTKISCO NY 10549</v>
      </c>
      <c r="J115" s="69">
        <v>114</v>
      </c>
      <c r="K115" s="50" t="s">
        <v>287</v>
      </c>
      <c r="L115" s="50" t="s">
        <v>286</v>
      </c>
      <c r="N115" s="64"/>
      <c r="O115" s="64"/>
      <c r="P115" s="64"/>
    </row>
    <row r="116" spans="1:16" x14ac:dyDescent="0.2">
      <c r="A116" s="50">
        <v>116</v>
      </c>
      <c r="B116" s="50" t="s">
        <v>461</v>
      </c>
      <c r="C116" s="89" t="s">
        <v>28</v>
      </c>
      <c r="D116" s="50" t="s">
        <v>18</v>
      </c>
      <c r="E116" s="50">
        <v>10549</v>
      </c>
      <c r="F116" s="49">
        <f t="shared" ca="1" si="2"/>
        <v>9687596114</v>
      </c>
      <c r="G116" s="50" t="str">
        <f t="shared" si="3"/>
        <v>16 PROSPECT ST MOUNTKISCO NY 10549</v>
      </c>
      <c r="J116" s="69">
        <v>115</v>
      </c>
      <c r="K116" s="50" t="s">
        <v>223</v>
      </c>
      <c r="L116" s="50" t="s">
        <v>272</v>
      </c>
      <c r="N116" s="64"/>
      <c r="O116" s="64"/>
      <c r="P116" s="64"/>
    </row>
    <row r="117" spans="1:16" x14ac:dyDescent="0.2">
      <c r="A117" s="50">
        <v>117</v>
      </c>
      <c r="B117" s="50" t="s">
        <v>462</v>
      </c>
      <c r="C117" s="89" t="s">
        <v>28</v>
      </c>
      <c r="D117" s="50" t="s">
        <v>18</v>
      </c>
      <c r="E117" s="50">
        <v>10549</v>
      </c>
      <c r="F117" s="49">
        <f t="shared" ca="1" si="2"/>
        <v>3717633589</v>
      </c>
      <c r="G117" s="50" t="str">
        <f t="shared" si="3"/>
        <v>19 SPRING ST MOUNTKISCO NY 10549</v>
      </c>
      <c r="J117" s="69">
        <v>116</v>
      </c>
      <c r="K117" s="50" t="s">
        <v>194</v>
      </c>
      <c r="L117" s="50" t="s">
        <v>271</v>
      </c>
      <c r="N117" s="64"/>
      <c r="O117" s="64"/>
      <c r="P117" s="64"/>
    </row>
    <row r="118" spans="1:16" x14ac:dyDescent="0.2">
      <c r="A118" s="50">
        <v>118</v>
      </c>
      <c r="B118" s="50" t="s">
        <v>463</v>
      </c>
      <c r="C118" s="89" t="s">
        <v>56</v>
      </c>
      <c r="D118" s="50" t="s">
        <v>18</v>
      </c>
      <c r="E118" s="50">
        <v>10536</v>
      </c>
      <c r="F118" s="49">
        <f t="shared" ca="1" si="2"/>
        <v>6620542088</v>
      </c>
      <c r="G118" s="50" t="str">
        <f t="shared" si="3"/>
        <v>73 VALLEY RD KATONAH NY 10536</v>
      </c>
      <c r="J118" s="69">
        <v>117</v>
      </c>
      <c r="K118" s="50" t="s">
        <v>202</v>
      </c>
      <c r="L118" s="50" t="s">
        <v>271</v>
      </c>
      <c r="N118" s="64"/>
      <c r="O118" s="64"/>
      <c r="P118" s="64"/>
    </row>
    <row r="119" spans="1:16" x14ac:dyDescent="0.2">
      <c r="A119" s="50">
        <v>119</v>
      </c>
      <c r="B119" s="50" t="s">
        <v>464</v>
      </c>
      <c r="C119" s="89" t="s">
        <v>50</v>
      </c>
      <c r="D119" s="50" t="s">
        <v>18</v>
      </c>
      <c r="E119" s="50">
        <v>10507</v>
      </c>
      <c r="F119" s="49">
        <f t="shared" ca="1" si="2"/>
        <v>5537073105</v>
      </c>
      <c r="G119" s="50" t="str">
        <f t="shared" si="3"/>
        <v>17 BURBANK AVE BEDFORD HILLS NY 10507</v>
      </c>
      <c r="J119" s="49">
        <v>118</v>
      </c>
      <c r="K119" s="50" t="s">
        <v>139</v>
      </c>
      <c r="L119" s="50" t="s">
        <v>270</v>
      </c>
      <c r="N119" s="64"/>
      <c r="O119" s="64"/>
      <c r="P119" s="64"/>
    </row>
    <row r="120" spans="1:16" x14ac:dyDescent="0.2">
      <c r="A120" s="50">
        <v>120</v>
      </c>
      <c r="B120" s="50" t="s">
        <v>465</v>
      </c>
      <c r="C120" s="89" t="s">
        <v>50</v>
      </c>
      <c r="D120" s="50" t="s">
        <v>18</v>
      </c>
      <c r="E120" s="50">
        <v>10507</v>
      </c>
      <c r="F120" s="49">
        <f t="shared" ca="1" si="2"/>
        <v>5441642728</v>
      </c>
      <c r="G120" s="50" t="str">
        <f t="shared" si="3"/>
        <v>31 BEECHWOOD RD BEDFORD HILLS NY 10507</v>
      </c>
      <c r="J120" s="49">
        <v>119</v>
      </c>
      <c r="K120" s="50" t="s">
        <v>164</v>
      </c>
      <c r="L120" s="50" t="s">
        <v>163</v>
      </c>
      <c r="N120" s="64"/>
      <c r="O120" s="64"/>
      <c r="P120" s="64"/>
    </row>
    <row r="121" spans="1:16" x14ac:dyDescent="0.2">
      <c r="A121" s="90">
        <v>121</v>
      </c>
      <c r="B121" s="50" t="s">
        <v>466</v>
      </c>
      <c r="C121" s="91" t="s">
        <v>50</v>
      </c>
      <c r="D121" s="90" t="s">
        <v>18</v>
      </c>
      <c r="E121" s="90">
        <v>10507</v>
      </c>
      <c r="F121" s="49">
        <f t="shared" ca="1" si="2"/>
        <v>3034599307</v>
      </c>
      <c r="G121" s="50" t="str">
        <f t="shared" si="3"/>
        <v>31 COTTAGE TERRACE BEDFORD HILLS NY 10507</v>
      </c>
      <c r="J121" s="49">
        <v>120</v>
      </c>
      <c r="K121" s="50" t="s">
        <v>253</v>
      </c>
      <c r="L121" s="50" t="s">
        <v>274</v>
      </c>
      <c r="N121" s="64"/>
      <c r="O121" s="64"/>
      <c r="P121" s="64"/>
    </row>
    <row r="122" spans="1:16" x14ac:dyDescent="0.2">
      <c r="A122" s="50">
        <v>122</v>
      </c>
      <c r="B122" s="50" t="s">
        <v>467</v>
      </c>
      <c r="C122" s="89" t="s">
        <v>50</v>
      </c>
      <c r="D122" s="50" t="s">
        <v>18</v>
      </c>
      <c r="E122" s="50">
        <v>10507</v>
      </c>
      <c r="F122" s="49">
        <f t="shared" ca="1" si="2"/>
        <v>3190690983</v>
      </c>
      <c r="G122" s="50" t="str">
        <f t="shared" si="3"/>
        <v>10 BURBANK AVE BEDFORD HILLS NY 10507</v>
      </c>
      <c r="J122" s="49">
        <v>121</v>
      </c>
      <c r="K122" s="50" t="s">
        <v>218</v>
      </c>
      <c r="L122" s="50" t="s">
        <v>272</v>
      </c>
      <c r="N122" s="64"/>
      <c r="O122" s="64"/>
      <c r="P122" s="64"/>
    </row>
    <row r="123" spans="1:16" x14ac:dyDescent="0.2">
      <c r="J123" s="49">
        <v>122</v>
      </c>
      <c r="K123" s="50" t="s">
        <v>302</v>
      </c>
      <c r="L123" s="50" t="s">
        <v>269</v>
      </c>
      <c r="N123" s="64"/>
      <c r="O123" s="64"/>
      <c r="P123" s="64"/>
    </row>
    <row r="124" spans="1:16" x14ac:dyDescent="0.2">
      <c r="J124" s="49">
        <v>123</v>
      </c>
      <c r="K124" s="50" t="s">
        <v>146</v>
      </c>
      <c r="L124" s="50" t="s">
        <v>270</v>
      </c>
      <c r="N124" s="64"/>
      <c r="O124" s="64"/>
      <c r="P124" s="64"/>
    </row>
    <row r="125" spans="1:16" x14ac:dyDescent="0.2">
      <c r="J125" s="49">
        <v>124</v>
      </c>
      <c r="K125" s="50" t="s">
        <v>233</v>
      </c>
      <c r="L125" s="50" t="s">
        <v>273</v>
      </c>
      <c r="N125" s="64"/>
      <c r="O125" s="64"/>
      <c r="P125" s="64"/>
    </row>
    <row r="126" spans="1:16" x14ac:dyDescent="0.2">
      <c r="J126" s="49">
        <v>125</v>
      </c>
      <c r="K126" s="50" t="s">
        <v>244</v>
      </c>
      <c r="L126" s="50" t="s">
        <v>273</v>
      </c>
      <c r="N126" s="64"/>
      <c r="O126" s="64"/>
      <c r="P126" s="64"/>
    </row>
    <row r="127" spans="1:16" x14ac:dyDescent="0.2">
      <c r="J127" s="49">
        <v>126</v>
      </c>
      <c r="K127" s="50" t="s">
        <v>173</v>
      </c>
      <c r="L127" s="50" t="s">
        <v>163</v>
      </c>
      <c r="N127" s="64"/>
      <c r="O127" s="64"/>
      <c r="P127" s="64"/>
    </row>
    <row r="128" spans="1:16" x14ac:dyDescent="0.2">
      <c r="J128" s="49">
        <v>127</v>
      </c>
      <c r="K128" s="50" t="s">
        <v>158</v>
      </c>
      <c r="L128" s="50" t="s">
        <v>270</v>
      </c>
      <c r="N128" s="64"/>
      <c r="O128" s="64"/>
      <c r="P128" s="64"/>
    </row>
    <row r="129" spans="10:16" x14ac:dyDescent="0.2">
      <c r="J129" s="49">
        <v>128</v>
      </c>
      <c r="K129" s="50" t="s">
        <v>239</v>
      </c>
      <c r="L129" s="50" t="s">
        <v>273</v>
      </c>
      <c r="N129" s="64"/>
      <c r="O129" s="64"/>
      <c r="P129" s="64"/>
    </row>
    <row r="130" spans="10:16" x14ac:dyDescent="0.2">
      <c r="J130" s="49">
        <v>129</v>
      </c>
      <c r="K130" s="50" t="s">
        <v>230</v>
      </c>
      <c r="L130" s="50" t="s">
        <v>272</v>
      </c>
      <c r="N130" s="64"/>
      <c r="O130" s="64"/>
      <c r="P130" s="64"/>
    </row>
    <row r="131" spans="10:16" x14ac:dyDescent="0.2">
      <c r="J131" s="49">
        <v>130</v>
      </c>
      <c r="K131" s="50" t="s">
        <v>155</v>
      </c>
      <c r="L131" s="50" t="s">
        <v>270</v>
      </c>
      <c r="N131" s="64"/>
      <c r="O131" s="64"/>
      <c r="P131" s="64"/>
    </row>
    <row r="132" spans="10:16" x14ac:dyDescent="0.2">
      <c r="J132" s="49">
        <v>131</v>
      </c>
      <c r="K132" s="50" t="s">
        <v>309</v>
      </c>
      <c r="L132" s="50" t="s">
        <v>269</v>
      </c>
      <c r="N132" s="64"/>
      <c r="O132" s="64"/>
      <c r="P132" s="64"/>
    </row>
    <row r="133" spans="10:16" x14ac:dyDescent="0.2">
      <c r="J133" s="49">
        <v>132</v>
      </c>
      <c r="K133" s="50" t="s">
        <v>177</v>
      </c>
      <c r="L133" s="50" t="s">
        <v>163</v>
      </c>
      <c r="N133" s="64"/>
      <c r="O133" s="64"/>
      <c r="P133" s="64"/>
    </row>
    <row r="134" spans="10:16" x14ac:dyDescent="0.2">
      <c r="J134" s="49">
        <v>133</v>
      </c>
      <c r="K134" s="50" t="s">
        <v>298</v>
      </c>
      <c r="L134" s="50" t="s">
        <v>271</v>
      </c>
      <c r="N134" s="64"/>
      <c r="O134" s="64"/>
      <c r="P134" s="64"/>
    </row>
    <row r="135" spans="10:16" x14ac:dyDescent="0.2">
      <c r="J135" s="49">
        <v>134</v>
      </c>
      <c r="K135" s="50" t="s">
        <v>308</v>
      </c>
      <c r="L135" s="50" t="s">
        <v>269</v>
      </c>
      <c r="N135" s="64"/>
      <c r="O135" s="64"/>
      <c r="P135" s="64"/>
    </row>
    <row r="136" spans="10:16" x14ac:dyDescent="0.2">
      <c r="J136" s="49">
        <v>135</v>
      </c>
      <c r="K136" s="50" t="s">
        <v>165</v>
      </c>
      <c r="L136" s="50" t="s">
        <v>163</v>
      </c>
      <c r="N136" s="64"/>
      <c r="O136" s="64"/>
      <c r="P136" s="64"/>
    </row>
    <row r="137" spans="10:16" x14ac:dyDescent="0.2">
      <c r="J137" s="49">
        <v>136</v>
      </c>
      <c r="K137" s="50" t="s">
        <v>237</v>
      </c>
      <c r="L137" s="50" t="s">
        <v>273</v>
      </c>
      <c r="N137" s="64"/>
      <c r="O137" s="64"/>
      <c r="P137" s="64"/>
    </row>
    <row r="138" spans="10:16" x14ac:dyDescent="0.2">
      <c r="J138" s="70">
        <v>137</v>
      </c>
      <c r="K138" s="50" t="s">
        <v>199</v>
      </c>
      <c r="L138" s="50" t="s">
        <v>271</v>
      </c>
      <c r="N138" s="64"/>
      <c r="O138" s="64"/>
      <c r="P138" s="64"/>
    </row>
    <row r="139" spans="10:16" x14ac:dyDescent="0.2">
      <c r="J139" s="70">
        <v>138</v>
      </c>
      <c r="K139" s="50" t="s">
        <v>164</v>
      </c>
      <c r="L139" s="50" t="s">
        <v>163</v>
      </c>
      <c r="N139" s="64"/>
      <c r="O139" s="64"/>
      <c r="P139" s="64"/>
    </row>
    <row r="140" spans="10:16" x14ac:dyDescent="0.2">
      <c r="J140" s="70">
        <v>139</v>
      </c>
      <c r="K140" s="50" t="s">
        <v>258</v>
      </c>
      <c r="L140" s="50" t="s">
        <v>274</v>
      </c>
      <c r="N140" s="64"/>
      <c r="O140" s="64"/>
      <c r="P140" s="64"/>
    </row>
    <row r="141" spans="10:16" x14ac:dyDescent="0.2">
      <c r="J141" s="70">
        <v>140</v>
      </c>
      <c r="K141" s="50" t="s">
        <v>293</v>
      </c>
      <c r="L141" s="50" t="s">
        <v>286</v>
      </c>
      <c r="N141" s="64"/>
      <c r="O141" s="64"/>
      <c r="P141" s="64"/>
    </row>
    <row r="142" spans="10:16" x14ac:dyDescent="0.2">
      <c r="J142" s="70">
        <v>141</v>
      </c>
      <c r="K142" s="50" t="s">
        <v>305</v>
      </c>
      <c r="L142" s="50" t="s">
        <v>269</v>
      </c>
      <c r="N142" s="64"/>
      <c r="O142" s="64"/>
      <c r="P142" s="64"/>
    </row>
    <row r="143" spans="10:16" x14ac:dyDescent="0.2">
      <c r="J143" s="70">
        <v>142</v>
      </c>
      <c r="K143" s="50" t="s">
        <v>120</v>
      </c>
      <c r="L143" s="50" t="s">
        <v>269</v>
      </c>
      <c r="N143" s="64"/>
      <c r="O143" s="64"/>
      <c r="P143" s="64"/>
    </row>
    <row r="144" spans="10:16" x14ac:dyDescent="0.2">
      <c r="J144" s="70">
        <v>143</v>
      </c>
      <c r="K144" s="50" t="s">
        <v>295</v>
      </c>
      <c r="L144" s="50" t="s">
        <v>286</v>
      </c>
      <c r="N144" s="64"/>
      <c r="O144" s="64"/>
      <c r="P144" s="64"/>
    </row>
    <row r="145" spans="10:16" x14ac:dyDescent="0.2">
      <c r="J145" s="70">
        <v>144</v>
      </c>
      <c r="K145" s="50" t="s">
        <v>128</v>
      </c>
      <c r="L145" s="50" t="s">
        <v>269</v>
      </c>
      <c r="N145" s="64"/>
      <c r="O145" s="64"/>
      <c r="P145" s="64"/>
    </row>
    <row r="146" spans="10:16" x14ac:dyDescent="0.2">
      <c r="J146" s="70">
        <v>145</v>
      </c>
      <c r="K146" s="50" t="s">
        <v>159</v>
      </c>
      <c r="L146" s="50" t="s">
        <v>270</v>
      </c>
      <c r="N146" s="64"/>
      <c r="O146" s="64"/>
      <c r="P146" s="64"/>
    </row>
    <row r="147" spans="10:16" x14ac:dyDescent="0.2">
      <c r="J147" s="70">
        <v>146</v>
      </c>
      <c r="K147" s="50" t="s">
        <v>229</v>
      </c>
      <c r="L147" s="50" t="s">
        <v>272</v>
      </c>
      <c r="N147" s="64"/>
      <c r="O147" s="64"/>
      <c r="P147" s="64"/>
    </row>
    <row r="148" spans="10:16" x14ac:dyDescent="0.2">
      <c r="J148" s="70">
        <v>147</v>
      </c>
      <c r="K148" s="50" t="s">
        <v>265</v>
      </c>
      <c r="L148" s="50" t="s">
        <v>275</v>
      </c>
      <c r="N148" s="64"/>
      <c r="O148" s="64"/>
      <c r="P148" s="64"/>
    </row>
    <row r="149" spans="10:16" x14ac:dyDescent="0.2">
      <c r="J149" s="70">
        <v>148</v>
      </c>
      <c r="K149" s="50" t="s">
        <v>231</v>
      </c>
      <c r="L149" s="50" t="s">
        <v>273</v>
      </c>
      <c r="N149" s="64"/>
      <c r="O149" s="64"/>
      <c r="P149" s="64"/>
    </row>
    <row r="150" spans="10:16" x14ac:dyDescent="0.2">
      <c r="J150" s="70">
        <v>149</v>
      </c>
      <c r="K150" s="50" t="s">
        <v>178</v>
      </c>
      <c r="L150" s="50" t="s">
        <v>163</v>
      </c>
      <c r="N150" s="64"/>
      <c r="O150" s="64"/>
      <c r="P150" s="64"/>
    </row>
    <row r="151" spans="10:16" x14ac:dyDescent="0.2">
      <c r="J151" s="70">
        <v>150</v>
      </c>
      <c r="K151" s="50" t="s">
        <v>232</v>
      </c>
      <c r="L151" s="50" t="s">
        <v>273</v>
      </c>
      <c r="N151" s="64"/>
      <c r="O151" s="64"/>
      <c r="P151" s="64"/>
    </row>
    <row r="152" spans="10:16" x14ac:dyDescent="0.2">
      <c r="J152" s="70">
        <v>151</v>
      </c>
      <c r="K152" s="50" t="s">
        <v>196</v>
      </c>
      <c r="L152" s="50" t="s">
        <v>271</v>
      </c>
      <c r="N152" s="64"/>
      <c r="O152" s="64"/>
      <c r="P152" s="64"/>
    </row>
    <row r="153" spans="10:16" x14ac:dyDescent="0.2">
      <c r="J153" s="70">
        <v>152</v>
      </c>
      <c r="K153" s="50" t="s">
        <v>124</v>
      </c>
      <c r="L153" s="50" t="s">
        <v>269</v>
      </c>
      <c r="N153" s="64"/>
      <c r="O153" s="64"/>
      <c r="P153" s="64"/>
    </row>
    <row r="154" spans="10:16" x14ac:dyDescent="0.2">
      <c r="J154" s="70">
        <v>153</v>
      </c>
      <c r="K154" s="50" t="s">
        <v>283</v>
      </c>
      <c r="L154" s="50" t="s">
        <v>276</v>
      </c>
      <c r="N154" s="64"/>
      <c r="O154" s="64"/>
      <c r="P154" s="64"/>
    </row>
    <row r="155" spans="10:16" x14ac:dyDescent="0.2">
      <c r="J155" s="71">
        <v>154</v>
      </c>
      <c r="K155" s="50" t="s">
        <v>152</v>
      </c>
      <c r="L155" s="50" t="s">
        <v>270</v>
      </c>
      <c r="N155" s="64"/>
      <c r="O155" s="64"/>
      <c r="P155" s="64"/>
    </row>
    <row r="156" spans="10:16" x14ac:dyDescent="0.2">
      <c r="J156" s="71">
        <v>155</v>
      </c>
      <c r="K156" s="50" t="s">
        <v>174</v>
      </c>
      <c r="L156" s="50" t="s">
        <v>163</v>
      </c>
      <c r="N156" s="64"/>
      <c r="O156" s="64"/>
      <c r="P156" s="64"/>
    </row>
    <row r="157" spans="10:16" x14ac:dyDescent="0.2">
      <c r="J157" s="71">
        <v>156</v>
      </c>
      <c r="K157" s="50" t="s">
        <v>242</v>
      </c>
      <c r="L157" s="50" t="s">
        <v>273</v>
      </c>
      <c r="N157" s="64"/>
      <c r="O157" s="64"/>
      <c r="P157" s="64"/>
    </row>
    <row r="158" spans="10:16" x14ac:dyDescent="0.2">
      <c r="J158" s="71">
        <v>157</v>
      </c>
      <c r="K158" s="50" t="s">
        <v>147</v>
      </c>
      <c r="L158" s="50" t="s">
        <v>270</v>
      </c>
      <c r="N158" s="64"/>
      <c r="O158" s="64"/>
      <c r="P158" s="64"/>
    </row>
    <row r="159" spans="10:16" x14ac:dyDescent="0.2">
      <c r="J159" s="71">
        <v>158</v>
      </c>
      <c r="K159" s="50" t="s">
        <v>166</v>
      </c>
      <c r="L159" s="50" t="s">
        <v>163</v>
      </c>
      <c r="N159" s="64"/>
      <c r="O159" s="64"/>
      <c r="P159" s="64"/>
    </row>
    <row r="160" spans="10:16" x14ac:dyDescent="0.2">
      <c r="J160" s="71">
        <v>159</v>
      </c>
      <c r="K160" s="50" t="s">
        <v>219</v>
      </c>
      <c r="L160" s="50" t="s">
        <v>272</v>
      </c>
      <c r="N160" s="64"/>
      <c r="O160" s="64"/>
      <c r="P160" s="64"/>
    </row>
    <row r="161" spans="10:16" x14ac:dyDescent="0.2">
      <c r="J161" s="71">
        <v>160</v>
      </c>
      <c r="K161" s="50" t="s">
        <v>252</v>
      </c>
      <c r="L161" s="50" t="s">
        <v>274</v>
      </c>
      <c r="N161" s="64"/>
      <c r="O161" s="64"/>
      <c r="P161" s="64"/>
    </row>
    <row r="162" spans="10:16" x14ac:dyDescent="0.2">
      <c r="J162" s="71">
        <v>161</v>
      </c>
      <c r="K162" s="50" t="s">
        <v>129</v>
      </c>
      <c r="L162" s="50" t="s">
        <v>269</v>
      </c>
      <c r="N162" s="64"/>
      <c r="O162" s="64"/>
      <c r="P162" s="64"/>
    </row>
    <row r="163" spans="10:16" x14ac:dyDescent="0.2">
      <c r="J163" s="71">
        <v>162</v>
      </c>
      <c r="K163" s="50" t="s">
        <v>294</v>
      </c>
      <c r="L163" s="50" t="s">
        <v>286</v>
      </c>
      <c r="N163" s="64"/>
      <c r="O163" s="64"/>
      <c r="P163" s="64"/>
    </row>
    <row r="164" spans="10:16" x14ac:dyDescent="0.2">
      <c r="J164" s="71">
        <v>163</v>
      </c>
      <c r="K164" s="50" t="s">
        <v>245</v>
      </c>
      <c r="L164" s="50" t="s">
        <v>273</v>
      </c>
      <c r="N164" s="64"/>
      <c r="O164" s="64"/>
      <c r="P164" s="64"/>
    </row>
    <row r="165" spans="10:16" x14ac:dyDescent="0.2">
      <c r="J165" s="71">
        <v>164</v>
      </c>
      <c r="K165" s="50" t="s">
        <v>185</v>
      </c>
      <c r="L165" s="50" t="s">
        <v>113</v>
      </c>
      <c r="N165" s="64"/>
      <c r="O165" s="64"/>
      <c r="P165" s="64"/>
    </row>
    <row r="166" spans="10:16" x14ac:dyDescent="0.2">
      <c r="J166" s="68">
        <v>165</v>
      </c>
      <c r="K166" s="50" t="s">
        <v>167</v>
      </c>
      <c r="L166" s="50" t="s">
        <v>163</v>
      </c>
      <c r="N166" s="64"/>
      <c r="O166" s="64"/>
      <c r="P166" s="64"/>
    </row>
    <row r="167" spans="10:16" x14ac:dyDescent="0.2">
      <c r="J167" s="68">
        <v>166</v>
      </c>
      <c r="K167" s="50" t="s">
        <v>135</v>
      </c>
      <c r="L167" s="50" t="s">
        <v>269</v>
      </c>
      <c r="N167" s="64"/>
      <c r="O167" s="64"/>
      <c r="P167" s="64"/>
    </row>
    <row r="168" spans="10:16" x14ac:dyDescent="0.2">
      <c r="J168" s="68">
        <v>167</v>
      </c>
      <c r="K168" s="50" t="s">
        <v>195</v>
      </c>
      <c r="L168" s="50" t="s">
        <v>271</v>
      </c>
      <c r="N168" s="64"/>
      <c r="O168" s="64"/>
      <c r="P168" s="64"/>
    </row>
    <row r="169" spans="10:16" x14ac:dyDescent="0.2">
      <c r="J169" s="68">
        <v>168</v>
      </c>
      <c r="K169" s="50" t="s">
        <v>192</v>
      </c>
      <c r="L169" s="50" t="s">
        <v>113</v>
      </c>
      <c r="N169" s="64"/>
      <c r="O169" s="64"/>
      <c r="P169" s="64"/>
    </row>
    <row r="170" spans="10:16" x14ac:dyDescent="0.2">
      <c r="J170" s="68">
        <v>169</v>
      </c>
      <c r="K170" s="50" t="s">
        <v>280</v>
      </c>
      <c r="L170" s="50" t="s">
        <v>276</v>
      </c>
      <c r="N170" s="64"/>
      <c r="O170" s="64"/>
      <c r="P170" s="64"/>
    </row>
    <row r="171" spans="10:16" x14ac:dyDescent="0.2">
      <c r="J171" s="68">
        <v>170</v>
      </c>
      <c r="K171" s="50" t="s">
        <v>246</v>
      </c>
      <c r="L171" s="50" t="s">
        <v>273</v>
      </c>
      <c r="N171" s="64"/>
      <c r="O171" s="64"/>
      <c r="P171" s="64"/>
    </row>
    <row r="172" spans="10:16" x14ac:dyDescent="0.2">
      <c r="J172" s="68">
        <v>171</v>
      </c>
      <c r="K172" s="50" t="s">
        <v>160</v>
      </c>
      <c r="L172" s="50" t="s">
        <v>270</v>
      </c>
      <c r="N172" s="64"/>
      <c r="O172" s="64"/>
      <c r="P172" s="64"/>
    </row>
    <row r="173" spans="10:16" x14ac:dyDescent="0.2">
      <c r="J173" s="68">
        <v>172</v>
      </c>
      <c r="K173" s="50" t="s">
        <v>234</v>
      </c>
      <c r="L173" s="50" t="s">
        <v>273</v>
      </c>
      <c r="N173" s="64"/>
      <c r="O173" s="64"/>
      <c r="P173" s="64"/>
    </row>
    <row r="174" spans="10:16" x14ac:dyDescent="0.2">
      <c r="J174" s="68">
        <v>173</v>
      </c>
      <c r="K174" s="50" t="s">
        <v>315</v>
      </c>
      <c r="L174" s="50" t="s">
        <v>271</v>
      </c>
      <c r="N174" s="64"/>
      <c r="O174" s="64"/>
      <c r="P174" s="64"/>
    </row>
    <row r="175" spans="10:16" x14ac:dyDescent="0.2">
      <c r="J175" s="68">
        <v>174</v>
      </c>
      <c r="K175" s="50" t="s">
        <v>187</v>
      </c>
      <c r="L175" s="50" t="s">
        <v>113</v>
      </c>
      <c r="N175" s="64"/>
      <c r="O175" s="64"/>
      <c r="P175" s="64"/>
    </row>
    <row r="176" spans="10:16" x14ac:dyDescent="0.2">
      <c r="J176" s="72">
        <v>175</v>
      </c>
      <c r="K176" s="50" t="s">
        <v>267</v>
      </c>
      <c r="L176" s="50" t="s">
        <v>275</v>
      </c>
      <c r="N176" s="64"/>
      <c r="O176" s="64"/>
      <c r="P176" s="64"/>
    </row>
    <row r="177" spans="10:16" x14ac:dyDescent="0.2">
      <c r="J177" s="72">
        <v>176</v>
      </c>
      <c r="K177" s="50" t="s">
        <v>162</v>
      </c>
      <c r="L177" s="50" t="s">
        <v>270</v>
      </c>
      <c r="N177" s="64"/>
      <c r="O177" s="64"/>
      <c r="P177" s="64"/>
    </row>
    <row r="178" spans="10:16" x14ac:dyDescent="0.2">
      <c r="J178" s="72">
        <v>177</v>
      </c>
      <c r="K178" s="50" t="s">
        <v>175</v>
      </c>
      <c r="L178" s="50" t="s">
        <v>163</v>
      </c>
    </row>
    <row r="179" spans="10:16" x14ac:dyDescent="0.2">
      <c r="J179" s="72">
        <v>178</v>
      </c>
      <c r="K179" s="50" t="s">
        <v>179</v>
      </c>
      <c r="L179" s="50" t="s">
        <v>113</v>
      </c>
    </row>
    <row r="180" spans="10:16" x14ac:dyDescent="0.2">
      <c r="J180" s="72">
        <v>179</v>
      </c>
      <c r="K180" s="50" t="s">
        <v>181</v>
      </c>
      <c r="L180" s="50" t="s">
        <v>113</v>
      </c>
    </row>
    <row r="181" spans="10:16" x14ac:dyDescent="0.2">
      <c r="J181" s="72">
        <v>180</v>
      </c>
      <c r="K181" s="50" t="s">
        <v>241</v>
      </c>
      <c r="L181" s="50" t="s">
        <v>273</v>
      </c>
    </row>
    <row r="182" spans="10:16" x14ac:dyDescent="0.2">
      <c r="J182" s="72">
        <v>181</v>
      </c>
      <c r="K182" s="50" t="s">
        <v>297</v>
      </c>
      <c r="L182" s="50" t="s">
        <v>271</v>
      </c>
    </row>
    <row r="183" spans="10:16" x14ac:dyDescent="0.2">
      <c r="J183" s="72">
        <v>182</v>
      </c>
      <c r="K183" s="50" t="s">
        <v>188</v>
      </c>
      <c r="L183" s="50" t="s">
        <v>113</v>
      </c>
    </row>
    <row r="184" spans="10:16" x14ac:dyDescent="0.2">
      <c r="J184" s="72">
        <v>183</v>
      </c>
      <c r="K184" s="50" t="s">
        <v>149</v>
      </c>
      <c r="L184" s="50" t="s">
        <v>270</v>
      </c>
    </row>
    <row r="185" spans="10:16" x14ac:dyDescent="0.2">
      <c r="J185" s="72">
        <v>184</v>
      </c>
      <c r="K185" s="50" t="s">
        <v>247</v>
      </c>
      <c r="L185" s="50" t="s">
        <v>273</v>
      </c>
    </row>
    <row r="186" spans="10:16" x14ac:dyDescent="0.2">
      <c r="J186" s="73">
        <v>185</v>
      </c>
      <c r="K186" s="50" t="s">
        <v>238</v>
      </c>
      <c r="L186" s="50" t="s">
        <v>273</v>
      </c>
    </row>
    <row r="187" spans="10:16" x14ac:dyDescent="0.2">
      <c r="J187" s="73">
        <v>186</v>
      </c>
      <c r="K187" s="50" t="s">
        <v>278</v>
      </c>
      <c r="L187" s="50" t="s">
        <v>276</v>
      </c>
    </row>
    <row r="188" spans="10:16" x14ac:dyDescent="0.2">
      <c r="J188" s="73">
        <v>187</v>
      </c>
      <c r="K188" s="50" t="s">
        <v>289</v>
      </c>
      <c r="L188" s="50" t="s">
        <v>286</v>
      </c>
    </row>
    <row r="189" spans="10:16" x14ac:dyDescent="0.2">
      <c r="J189" s="73">
        <v>188</v>
      </c>
      <c r="K189" s="50" t="s">
        <v>290</v>
      </c>
      <c r="L189" s="50" t="s">
        <v>286</v>
      </c>
    </row>
    <row r="190" spans="10:16" x14ac:dyDescent="0.2">
      <c r="J190" s="73">
        <v>189</v>
      </c>
      <c r="K190" s="50" t="s">
        <v>134</v>
      </c>
      <c r="L190" s="50" t="s">
        <v>269</v>
      </c>
    </row>
    <row r="191" spans="10:16" x14ac:dyDescent="0.2">
      <c r="J191" s="73">
        <v>190</v>
      </c>
      <c r="K191" s="50" t="s">
        <v>240</v>
      </c>
      <c r="L191" s="50" t="s">
        <v>273</v>
      </c>
    </row>
    <row r="192" spans="10:16" x14ac:dyDescent="0.2">
      <c r="J192" s="73">
        <v>191</v>
      </c>
      <c r="K192" s="50" t="s">
        <v>117</v>
      </c>
      <c r="L192" s="50" t="s">
        <v>269</v>
      </c>
    </row>
    <row r="193" spans="10:12" x14ac:dyDescent="0.2">
      <c r="J193" s="73">
        <v>192</v>
      </c>
      <c r="K193" s="50" t="s">
        <v>213</v>
      </c>
      <c r="L193" s="50" t="s">
        <v>272</v>
      </c>
    </row>
    <row r="194" spans="10:12" x14ac:dyDescent="0.2">
      <c r="J194" s="73">
        <v>193</v>
      </c>
      <c r="K194" s="50" t="s">
        <v>314</v>
      </c>
      <c r="L194" s="50" t="s">
        <v>270</v>
      </c>
    </row>
    <row r="195" spans="10:12" x14ac:dyDescent="0.2">
      <c r="J195" s="73">
        <v>194</v>
      </c>
      <c r="K195" s="50" t="s">
        <v>256</v>
      </c>
      <c r="L195" s="50" t="s">
        <v>274</v>
      </c>
    </row>
  </sheetData>
  <conditionalFormatting sqref="F2:F74">
    <cfRule type="duplicateValues" dxfId="17" priority="428"/>
    <cfRule type="duplicateValues" dxfId="16" priority="429"/>
    <cfRule type="cellIs" dxfId="15" priority="430" operator="equal">
      <formula>5773500711</formula>
    </cfRule>
    <cfRule type="cellIs" dxfId="14" priority="431" operator="equal">
      <formula>2710639176</formula>
    </cfRule>
  </conditionalFormatting>
  <conditionalFormatting sqref="F1:F74 F123:F1048576">
    <cfRule type="duplicateValues" dxfId="13" priority="14"/>
  </conditionalFormatting>
  <conditionalFormatting sqref="F75:F95">
    <cfRule type="duplicateValues" dxfId="12" priority="10"/>
    <cfRule type="duplicateValues" dxfId="11" priority="11"/>
    <cfRule type="cellIs" dxfId="10" priority="12" operator="equal">
      <formula>5773500711</formula>
    </cfRule>
    <cfRule type="cellIs" dxfId="9" priority="13" operator="equal">
      <formula>2710639176</formula>
    </cfRule>
  </conditionalFormatting>
  <conditionalFormatting sqref="F75:F95">
    <cfRule type="duplicateValues" dxfId="8" priority="9"/>
  </conditionalFormatting>
  <conditionalFormatting sqref="F96:F122">
    <cfRule type="duplicateValues" dxfId="7" priority="5"/>
    <cfRule type="duplicateValues" dxfId="6" priority="6"/>
    <cfRule type="cellIs" dxfId="5" priority="7" operator="equal">
      <formula>5773500711</formula>
    </cfRule>
    <cfRule type="cellIs" dxfId="4" priority="8" operator="equal">
      <formula>2710639176</formula>
    </cfRule>
  </conditionalFormatting>
  <conditionalFormatting sqref="F96:F122">
    <cfRule type="duplicateValues" dxfId="3" priority="4"/>
  </conditionalFormatting>
  <conditionalFormatting sqref="B96:B98">
    <cfRule type="duplicateValues" dxfId="2" priority="3"/>
  </conditionalFormatting>
  <conditionalFormatting sqref="B99:B100">
    <cfRule type="duplicateValues" dxfId="1" priority="2"/>
  </conditionalFormatting>
  <conditionalFormatting sqref="B101:B122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2024-12-13T13:37:08Z</cp:lastPrinted>
  <dcterms:created xsi:type="dcterms:W3CDTF">2022-06-23T22:24:49Z</dcterms:created>
  <dcterms:modified xsi:type="dcterms:W3CDTF">2024-12-20T02:36:43Z</dcterms:modified>
</cp:coreProperties>
</file>